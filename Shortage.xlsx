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965474D8-217A-4E65-A8CB-DC1A09DC240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ep-26" sheetId="6" r:id="rId1"/>
    <sheet name="Aug-26" sheetId="5" r:id="rId2"/>
    <sheet name="Jul-26" sheetId="4" r:id="rId3"/>
  </sheets>
  <definedNames>
    <definedName name="_xlnm._FilterDatabase" localSheetId="1" hidden="1">'Aug-26'!$A$5:$BG$111</definedName>
    <definedName name="_xlnm._FilterDatabase" localSheetId="2" hidden="1">'Jul-26'!$A$5:$BG$127</definedName>
    <definedName name="_xlnm._FilterDatabase" localSheetId="0" hidden="1">'Sep-26'!$A$5:$BF$83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77" i="6" l="1"/>
  <c r="BB77" i="6"/>
  <c r="BE77" i="6" s="1"/>
  <c r="BF77" i="6" s="1"/>
  <c r="AP77" i="6"/>
  <c r="AQ77" i="6" s="1"/>
  <c r="AR77" i="6" s="1"/>
  <c r="AI77" i="6"/>
  <c r="T77" i="6"/>
  <c r="Z77" i="6" s="1"/>
  <c r="AA77" i="6" s="1"/>
  <c r="A77" i="6"/>
  <c r="BC76" i="6"/>
  <c r="AP76" i="6"/>
  <c r="AQ76" i="6" s="1"/>
  <c r="AR76" i="6" s="1"/>
  <c r="AI76" i="6"/>
  <c r="T76" i="6"/>
  <c r="Z76" i="6" s="1"/>
  <c r="AA76" i="6" s="1"/>
  <c r="A76" i="6"/>
  <c r="BC75" i="6"/>
  <c r="AP75" i="6"/>
  <c r="AQ75" i="6" s="1"/>
  <c r="AR75" i="6" s="1"/>
  <c r="AI75" i="6"/>
  <c r="T75" i="6"/>
  <c r="Z75" i="6" s="1"/>
  <c r="AA75" i="6" s="1"/>
  <c r="A75" i="6"/>
  <c r="BC74" i="6"/>
  <c r="AP74" i="6"/>
  <c r="AQ74" i="6" s="1"/>
  <c r="AR74" i="6" s="1"/>
  <c r="AI74" i="6"/>
  <c r="T74" i="6"/>
  <c r="Z74" i="6" s="1"/>
  <c r="AA74" i="6" s="1"/>
  <c r="A74" i="6"/>
  <c r="BC73" i="6"/>
  <c r="AP73" i="6"/>
  <c r="AQ73" i="6" s="1"/>
  <c r="AR73" i="6" s="1"/>
  <c r="AI73" i="6"/>
  <c r="T73" i="6"/>
  <c r="Z73" i="6" s="1"/>
  <c r="AA73" i="6" s="1"/>
  <c r="A73" i="6"/>
  <c r="BC72" i="6"/>
  <c r="AP72" i="6"/>
  <c r="AQ72" i="6" s="1"/>
  <c r="AR72" i="6" s="1"/>
  <c r="AI72" i="6"/>
  <c r="T72" i="6"/>
  <c r="Z72" i="6" s="1"/>
  <c r="AA72" i="6" s="1"/>
  <c r="A72" i="6"/>
  <c r="BC71" i="6"/>
  <c r="AP71" i="6"/>
  <c r="AQ71" i="6" s="1"/>
  <c r="AR71" i="6" s="1"/>
  <c r="AI71" i="6"/>
  <c r="T71" i="6"/>
  <c r="Z71" i="6" s="1"/>
  <c r="AA71" i="6" s="1"/>
  <c r="A71" i="6"/>
  <c r="BC70" i="6"/>
  <c r="AP70" i="6"/>
  <c r="AQ70" i="6" s="1"/>
  <c r="AR70" i="6" s="1"/>
  <c r="AI70" i="6"/>
  <c r="T70" i="6"/>
  <c r="Z70" i="6" s="1"/>
  <c r="AA70" i="6" s="1"/>
  <c r="A70" i="6"/>
  <c r="BC69" i="6"/>
  <c r="AP69" i="6"/>
  <c r="AQ69" i="6" s="1"/>
  <c r="AR69" i="6" s="1"/>
  <c r="AI69" i="6"/>
  <c r="T69" i="6"/>
  <c r="Z69" i="6" s="1"/>
  <c r="AA69" i="6" s="1"/>
  <c r="A69" i="6"/>
  <c r="BB75" i="6" l="1"/>
  <c r="BE75" i="6" s="1"/>
  <c r="BF75" i="6" s="1"/>
  <c r="BB69" i="6"/>
  <c r="BE69" i="6" s="1"/>
  <c r="BF69" i="6" s="1"/>
  <c r="BB73" i="6"/>
  <c r="BE73" i="6" s="1"/>
  <c r="BF73" i="6" s="1"/>
  <c r="BB71" i="6"/>
  <c r="BE71" i="6" s="1"/>
  <c r="BF71" i="6" s="1"/>
  <c r="BB76" i="6"/>
  <c r="BE76" i="6" s="1"/>
  <c r="BF76" i="6" s="1"/>
  <c r="BB70" i="6"/>
  <c r="BE70" i="6" s="1"/>
  <c r="BF70" i="6" s="1"/>
  <c r="BB72" i="6"/>
  <c r="BE72" i="6" s="1"/>
  <c r="BF72" i="6" s="1"/>
  <c r="BB74" i="6"/>
  <c r="BE74" i="6" s="1"/>
  <c r="BF74" i="6" s="1"/>
  <c r="BC78" i="6" l="1"/>
  <c r="AP78" i="6"/>
  <c r="AQ78" i="6" s="1"/>
  <c r="AR78" i="6" s="1"/>
  <c r="AI78" i="6"/>
  <c r="T78" i="6"/>
  <c r="Z78" i="6" s="1"/>
  <c r="AA78" i="6" s="1"/>
  <c r="A78" i="6"/>
  <c r="BC68" i="6"/>
  <c r="AP68" i="6"/>
  <c r="AQ68" i="6" s="1"/>
  <c r="AR68" i="6" s="1"/>
  <c r="AI68" i="6"/>
  <c r="T68" i="6"/>
  <c r="Z68" i="6" s="1"/>
  <c r="AA68" i="6" s="1"/>
  <c r="A68" i="6"/>
  <c r="BC67" i="6"/>
  <c r="AP67" i="6"/>
  <c r="AQ67" i="6" s="1"/>
  <c r="AR67" i="6" s="1"/>
  <c r="AI67" i="6"/>
  <c r="T67" i="6"/>
  <c r="Z67" i="6" s="1"/>
  <c r="AA67" i="6" s="1"/>
  <c r="A67" i="6"/>
  <c r="BC66" i="6"/>
  <c r="AP66" i="6"/>
  <c r="AQ66" i="6" s="1"/>
  <c r="AR66" i="6" s="1"/>
  <c r="AI66" i="6"/>
  <c r="T66" i="6"/>
  <c r="Z66" i="6" s="1"/>
  <c r="AA66" i="6" s="1"/>
  <c r="A66" i="6"/>
  <c r="BC80" i="6"/>
  <c r="AP80" i="6"/>
  <c r="AQ80" i="6" s="1"/>
  <c r="AR80" i="6" s="1"/>
  <c r="AI80" i="6"/>
  <c r="T80" i="6"/>
  <c r="Z80" i="6" s="1"/>
  <c r="AA80" i="6" s="1"/>
  <c r="A80" i="6"/>
  <c r="BC79" i="6"/>
  <c r="AP79" i="6"/>
  <c r="AQ79" i="6" s="1"/>
  <c r="AR79" i="6" s="1"/>
  <c r="AI79" i="6"/>
  <c r="T79" i="6"/>
  <c r="Z79" i="6" s="1"/>
  <c r="AA79" i="6" s="1"/>
  <c r="A79" i="6"/>
  <c r="BC65" i="6"/>
  <c r="AP65" i="6"/>
  <c r="AQ65" i="6" s="1"/>
  <c r="AR65" i="6" s="1"/>
  <c r="AI65" i="6"/>
  <c r="T65" i="6"/>
  <c r="Z65" i="6" s="1"/>
  <c r="AA65" i="6" s="1"/>
  <c r="A65" i="6"/>
  <c r="BC64" i="6"/>
  <c r="AP64" i="6"/>
  <c r="AQ64" i="6" s="1"/>
  <c r="AR64" i="6" s="1"/>
  <c r="AI64" i="6"/>
  <c r="T64" i="6"/>
  <c r="Z64" i="6" s="1"/>
  <c r="AA64" i="6" s="1"/>
  <c r="A64" i="6"/>
  <c r="BC63" i="6"/>
  <c r="AP63" i="6"/>
  <c r="AQ63" i="6" s="1"/>
  <c r="AR63" i="6" s="1"/>
  <c r="AI63" i="6"/>
  <c r="T63" i="6"/>
  <c r="Z63" i="6" s="1"/>
  <c r="AA63" i="6" s="1"/>
  <c r="A63" i="6"/>
  <c r="BC62" i="6"/>
  <c r="AP62" i="6"/>
  <c r="AQ62" i="6" s="1"/>
  <c r="AR62" i="6" s="1"/>
  <c r="AI62" i="6"/>
  <c r="T62" i="6"/>
  <c r="Z62" i="6" s="1"/>
  <c r="AA62" i="6" s="1"/>
  <c r="A62" i="6"/>
  <c r="BC61" i="6"/>
  <c r="AP61" i="6"/>
  <c r="AQ61" i="6" s="1"/>
  <c r="AR61" i="6" s="1"/>
  <c r="AI61" i="6"/>
  <c r="T61" i="6"/>
  <c r="Z61" i="6" s="1"/>
  <c r="AA61" i="6" s="1"/>
  <c r="A61" i="6"/>
  <c r="BC60" i="6"/>
  <c r="AP60" i="6"/>
  <c r="AQ60" i="6" s="1"/>
  <c r="AR60" i="6" s="1"/>
  <c r="AI60" i="6"/>
  <c r="T60" i="6"/>
  <c r="Z60" i="6" s="1"/>
  <c r="AA60" i="6" s="1"/>
  <c r="A60" i="6"/>
  <c r="BC59" i="6"/>
  <c r="AP59" i="6"/>
  <c r="AQ59" i="6" s="1"/>
  <c r="AR59" i="6" s="1"/>
  <c r="AI59" i="6"/>
  <c r="T59" i="6"/>
  <c r="Z59" i="6" s="1"/>
  <c r="AA59" i="6" s="1"/>
  <c r="A59" i="6"/>
  <c r="BC58" i="6"/>
  <c r="AP58" i="6"/>
  <c r="AQ58" i="6" s="1"/>
  <c r="AR58" i="6" s="1"/>
  <c r="AI58" i="6"/>
  <c r="T58" i="6"/>
  <c r="Z58" i="6" s="1"/>
  <c r="AA58" i="6" s="1"/>
  <c r="A58" i="6"/>
  <c r="BC57" i="6"/>
  <c r="AP57" i="6"/>
  <c r="AQ57" i="6" s="1"/>
  <c r="AR57" i="6" s="1"/>
  <c r="AI57" i="6"/>
  <c r="T57" i="6"/>
  <c r="Z57" i="6" s="1"/>
  <c r="AA57" i="6" s="1"/>
  <c r="A57" i="6"/>
  <c r="BC54" i="6"/>
  <c r="AP54" i="6"/>
  <c r="AQ54" i="6" s="1"/>
  <c r="AR54" i="6" s="1"/>
  <c r="AI54" i="6"/>
  <c r="T54" i="6"/>
  <c r="Z54" i="6" s="1"/>
  <c r="AA54" i="6" s="1"/>
  <c r="A54" i="6"/>
  <c r="BC53" i="6"/>
  <c r="AP53" i="6"/>
  <c r="AQ53" i="6" s="1"/>
  <c r="AR53" i="6" s="1"/>
  <c r="AI53" i="6"/>
  <c r="T53" i="6"/>
  <c r="Z53" i="6" s="1"/>
  <c r="AA53" i="6" s="1"/>
  <c r="A53" i="6"/>
  <c r="BC52" i="6"/>
  <c r="AP52" i="6"/>
  <c r="AQ52" i="6" s="1"/>
  <c r="AR52" i="6" s="1"/>
  <c r="AI52" i="6"/>
  <c r="T52" i="6"/>
  <c r="Z52" i="6" s="1"/>
  <c r="AA52" i="6" s="1"/>
  <c r="A52" i="6"/>
  <c r="BC51" i="6"/>
  <c r="AP51" i="6"/>
  <c r="AQ51" i="6" s="1"/>
  <c r="AR51" i="6" s="1"/>
  <c r="AI51" i="6"/>
  <c r="T51" i="6"/>
  <c r="Z51" i="6" s="1"/>
  <c r="AA51" i="6" s="1"/>
  <c r="A51" i="6"/>
  <c r="BC50" i="6"/>
  <c r="AP50" i="6"/>
  <c r="AQ50" i="6" s="1"/>
  <c r="AR50" i="6" s="1"/>
  <c r="AI50" i="6"/>
  <c r="T50" i="6"/>
  <c r="Z50" i="6" s="1"/>
  <c r="AA50" i="6" s="1"/>
  <c r="A50" i="6"/>
  <c r="BC49" i="6"/>
  <c r="AP49" i="6"/>
  <c r="AQ49" i="6" s="1"/>
  <c r="AR49" i="6" s="1"/>
  <c r="AI49" i="6"/>
  <c r="T49" i="6"/>
  <c r="Z49" i="6" s="1"/>
  <c r="AA49" i="6" s="1"/>
  <c r="A49" i="6"/>
  <c r="BC48" i="6"/>
  <c r="AP48" i="6"/>
  <c r="AQ48" i="6" s="1"/>
  <c r="AR48" i="6" s="1"/>
  <c r="AI48" i="6"/>
  <c r="T48" i="6"/>
  <c r="Z48" i="6" s="1"/>
  <c r="AA48" i="6" s="1"/>
  <c r="A48" i="6"/>
  <c r="BC47" i="6"/>
  <c r="AP47" i="6"/>
  <c r="AQ47" i="6" s="1"/>
  <c r="AR47" i="6" s="1"/>
  <c r="AI47" i="6"/>
  <c r="T47" i="6"/>
  <c r="Z47" i="6" s="1"/>
  <c r="AA47" i="6" s="1"/>
  <c r="A47" i="6"/>
  <c r="BC56" i="6"/>
  <c r="AP56" i="6"/>
  <c r="AQ56" i="6" s="1"/>
  <c r="AR56" i="6" s="1"/>
  <c r="AI56" i="6"/>
  <c r="T56" i="6"/>
  <c r="Z56" i="6" s="1"/>
  <c r="AA56" i="6" s="1"/>
  <c r="A56" i="6"/>
  <c r="BC55" i="6"/>
  <c r="AP55" i="6"/>
  <c r="AQ55" i="6" s="1"/>
  <c r="AR55" i="6" s="1"/>
  <c r="AI55" i="6"/>
  <c r="T55" i="6"/>
  <c r="Z55" i="6" s="1"/>
  <c r="AA55" i="6" s="1"/>
  <c r="A55" i="6"/>
  <c r="BC46" i="6"/>
  <c r="AP46" i="6"/>
  <c r="AQ46" i="6" s="1"/>
  <c r="AR46" i="6" s="1"/>
  <c r="AI46" i="6"/>
  <c r="T46" i="6"/>
  <c r="Z46" i="6" s="1"/>
  <c r="AA46" i="6" s="1"/>
  <c r="A46" i="6"/>
  <c r="BC45" i="6"/>
  <c r="AP45" i="6"/>
  <c r="AQ45" i="6" s="1"/>
  <c r="AR45" i="6" s="1"/>
  <c r="AI45" i="6"/>
  <c r="T45" i="6"/>
  <c r="Z45" i="6" s="1"/>
  <c r="AA45" i="6" s="1"/>
  <c r="A45" i="6"/>
  <c r="BC44" i="6"/>
  <c r="AP44" i="6"/>
  <c r="AQ44" i="6" s="1"/>
  <c r="AR44" i="6" s="1"/>
  <c r="AI44" i="6"/>
  <c r="T44" i="6"/>
  <c r="Z44" i="6" s="1"/>
  <c r="AA44" i="6" s="1"/>
  <c r="A44" i="6"/>
  <c r="BC43" i="6"/>
  <c r="AP43" i="6"/>
  <c r="AQ43" i="6" s="1"/>
  <c r="AR43" i="6" s="1"/>
  <c r="AI43" i="6"/>
  <c r="T43" i="6"/>
  <c r="Z43" i="6" s="1"/>
  <c r="AA43" i="6" s="1"/>
  <c r="A43" i="6"/>
  <c r="BC42" i="6"/>
  <c r="AP42" i="6"/>
  <c r="AQ42" i="6" s="1"/>
  <c r="AR42" i="6" s="1"/>
  <c r="AI42" i="6"/>
  <c r="T42" i="6"/>
  <c r="Z42" i="6" s="1"/>
  <c r="AA42" i="6" s="1"/>
  <c r="A42" i="6"/>
  <c r="BC37" i="6"/>
  <c r="AP37" i="6"/>
  <c r="AQ37" i="6" s="1"/>
  <c r="AR37" i="6" s="1"/>
  <c r="AI37" i="6"/>
  <c r="T37" i="6"/>
  <c r="Z37" i="6" s="1"/>
  <c r="AA37" i="6" s="1"/>
  <c r="A37" i="6"/>
  <c r="BC36" i="6"/>
  <c r="AP36" i="6"/>
  <c r="AQ36" i="6" s="1"/>
  <c r="AR36" i="6" s="1"/>
  <c r="AI36" i="6"/>
  <c r="T36" i="6"/>
  <c r="Z36" i="6" s="1"/>
  <c r="AA36" i="6" s="1"/>
  <c r="A36" i="6"/>
  <c r="BC35" i="6"/>
  <c r="AP35" i="6"/>
  <c r="AQ35" i="6" s="1"/>
  <c r="AR35" i="6" s="1"/>
  <c r="AI35" i="6"/>
  <c r="T35" i="6"/>
  <c r="Z35" i="6" s="1"/>
  <c r="AA35" i="6" s="1"/>
  <c r="A35" i="6"/>
  <c r="BC34" i="6"/>
  <c r="AP34" i="6"/>
  <c r="AQ34" i="6" s="1"/>
  <c r="AR34" i="6" s="1"/>
  <c r="AI34" i="6"/>
  <c r="T34" i="6"/>
  <c r="Z34" i="6" s="1"/>
  <c r="AA34" i="6" s="1"/>
  <c r="A34" i="6"/>
  <c r="BC33" i="6"/>
  <c r="AP33" i="6"/>
  <c r="AQ33" i="6" s="1"/>
  <c r="AR33" i="6" s="1"/>
  <c r="AI33" i="6"/>
  <c r="T33" i="6"/>
  <c r="Z33" i="6" s="1"/>
  <c r="AA33" i="6" s="1"/>
  <c r="A33" i="6"/>
  <c r="BC32" i="6"/>
  <c r="AP32" i="6"/>
  <c r="AQ32" i="6" s="1"/>
  <c r="AR32" i="6" s="1"/>
  <c r="AI32" i="6"/>
  <c r="T32" i="6"/>
  <c r="Z32" i="6" s="1"/>
  <c r="AA32" i="6" s="1"/>
  <c r="A32" i="6"/>
  <c r="BC31" i="6"/>
  <c r="AP31" i="6"/>
  <c r="AQ31" i="6" s="1"/>
  <c r="AR31" i="6" s="1"/>
  <c r="AI31" i="6"/>
  <c r="T31" i="6"/>
  <c r="Z31" i="6" s="1"/>
  <c r="AA31" i="6" s="1"/>
  <c r="A31" i="6"/>
  <c r="BC30" i="6"/>
  <c r="AP30" i="6"/>
  <c r="AQ30" i="6" s="1"/>
  <c r="AR30" i="6" s="1"/>
  <c r="AI30" i="6"/>
  <c r="T30" i="6"/>
  <c r="Z30" i="6" s="1"/>
  <c r="AA30" i="6" s="1"/>
  <c r="A30" i="6"/>
  <c r="BC81" i="6"/>
  <c r="AP81" i="6"/>
  <c r="AQ81" i="6" s="1"/>
  <c r="AR81" i="6" s="1"/>
  <c r="AI81" i="6"/>
  <c r="T81" i="6"/>
  <c r="Z81" i="6" s="1"/>
  <c r="AA81" i="6" s="1"/>
  <c r="A81" i="6"/>
  <c r="BC41" i="6"/>
  <c r="AP41" i="6"/>
  <c r="AQ41" i="6" s="1"/>
  <c r="AR41" i="6" s="1"/>
  <c r="AI41" i="6"/>
  <c r="T41" i="6"/>
  <c r="Z41" i="6" s="1"/>
  <c r="AA41" i="6" s="1"/>
  <c r="A41" i="6"/>
  <c r="BC40" i="6"/>
  <c r="AP40" i="6"/>
  <c r="AQ40" i="6" s="1"/>
  <c r="AR40" i="6" s="1"/>
  <c r="AI40" i="6"/>
  <c r="T40" i="6"/>
  <c r="Z40" i="6" s="1"/>
  <c r="AA40" i="6" s="1"/>
  <c r="A40" i="6"/>
  <c r="BC39" i="6"/>
  <c r="AP39" i="6"/>
  <c r="AQ39" i="6" s="1"/>
  <c r="AR39" i="6" s="1"/>
  <c r="AI39" i="6"/>
  <c r="T39" i="6"/>
  <c r="Z39" i="6" s="1"/>
  <c r="AA39" i="6" s="1"/>
  <c r="A39" i="6"/>
  <c r="BC38" i="6"/>
  <c r="AP38" i="6"/>
  <c r="AQ38" i="6" s="1"/>
  <c r="AR38" i="6" s="1"/>
  <c r="AI38" i="6"/>
  <c r="T38" i="6"/>
  <c r="Z38" i="6" s="1"/>
  <c r="AA38" i="6" s="1"/>
  <c r="A38" i="6"/>
  <c r="BC29" i="6"/>
  <c r="AP29" i="6"/>
  <c r="AQ29" i="6" s="1"/>
  <c r="AR29" i="6" s="1"/>
  <c r="AI29" i="6"/>
  <c r="T29" i="6"/>
  <c r="Z29" i="6" s="1"/>
  <c r="AA29" i="6" s="1"/>
  <c r="A29" i="6"/>
  <c r="BC28" i="6"/>
  <c r="AP28" i="6"/>
  <c r="AQ28" i="6" s="1"/>
  <c r="AR28" i="6" s="1"/>
  <c r="AI28" i="6"/>
  <c r="T28" i="6"/>
  <c r="Z28" i="6" s="1"/>
  <c r="AA28" i="6" s="1"/>
  <c r="A28" i="6"/>
  <c r="BC19" i="6"/>
  <c r="AP19" i="6"/>
  <c r="AQ19" i="6" s="1"/>
  <c r="AR19" i="6" s="1"/>
  <c r="AI19" i="6"/>
  <c r="T19" i="6"/>
  <c r="Z19" i="6" s="1"/>
  <c r="AA19" i="6" s="1"/>
  <c r="A19" i="6"/>
  <c r="BC25" i="6"/>
  <c r="AP25" i="6"/>
  <c r="AQ25" i="6" s="1"/>
  <c r="AR25" i="6" s="1"/>
  <c r="AI25" i="6"/>
  <c r="T25" i="6"/>
  <c r="Z25" i="6" s="1"/>
  <c r="AA25" i="6" s="1"/>
  <c r="A25" i="6"/>
  <c r="BC24" i="6"/>
  <c r="AP24" i="6"/>
  <c r="AQ24" i="6" s="1"/>
  <c r="AR24" i="6" s="1"/>
  <c r="AI24" i="6"/>
  <c r="T24" i="6"/>
  <c r="Z24" i="6" s="1"/>
  <c r="AA24" i="6" s="1"/>
  <c r="A24" i="6"/>
  <c r="BC23" i="6"/>
  <c r="AP23" i="6"/>
  <c r="AQ23" i="6" s="1"/>
  <c r="AR23" i="6" s="1"/>
  <c r="AI23" i="6"/>
  <c r="T23" i="6"/>
  <c r="Z23" i="6" s="1"/>
  <c r="AA23" i="6" s="1"/>
  <c r="A23" i="6"/>
  <c r="BC22" i="6"/>
  <c r="AP22" i="6"/>
  <c r="AQ22" i="6" s="1"/>
  <c r="AR22" i="6" s="1"/>
  <c r="AI22" i="6"/>
  <c r="T22" i="6"/>
  <c r="BB22" i="6" s="1"/>
  <c r="A22" i="6"/>
  <c r="BC21" i="6"/>
  <c r="AP21" i="6"/>
  <c r="AQ21" i="6" s="1"/>
  <c r="AR21" i="6" s="1"/>
  <c r="AI21" i="6"/>
  <c r="T21" i="6"/>
  <c r="Z21" i="6" s="1"/>
  <c r="AA21" i="6" s="1"/>
  <c r="A21" i="6"/>
  <c r="BC20" i="6"/>
  <c r="AP20" i="6"/>
  <c r="AQ20" i="6" s="1"/>
  <c r="AR20" i="6" s="1"/>
  <c r="AI20" i="6"/>
  <c r="T20" i="6"/>
  <c r="Z20" i="6" s="1"/>
  <c r="AA20" i="6" s="1"/>
  <c r="A20" i="6"/>
  <c r="BC18" i="6"/>
  <c r="AP18" i="6"/>
  <c r="AQ18" i="6" s="1"/>
  <c r="AR18" i="6" s="1"/>
  <c r="AI18" i="6"/>
  <c r="T18" i="6"/>
  <c r="Z18" i="6" s="1"/>
  <c r="AA18" i="6" s="1"/>
  <c r="A18" i="6"/>
  <c r="BC14" i="6"/>
  <c r="BC26" i="6"/>
  <c r="AP26" i="6"/>
  <c r="AQ26" i="6" s="1"/>
  <c r="AR26" i="6" s="1"/>
  <c r="AI26" i="6"/>
  <c r="T26" i="6"/>
  <c r="Z26" i="6" s="1"/>
  <c r="AA26" i="6" s="1"/>
  <c r="A26" i="6"/>
  <c r="BC17" i="6"/>
  <c r="AP17" i="6"/>
  <c r="AQ17" i="6" s="1"/>
  <c r="AR17" i="6" s="1"/>
  <c r="AI17" i="6"/>
  <c r="T17" i="6"/>
  <c r="Z17" i="6" s="1"/>
  <c r="AA17" i="6" s="1"/>
  <c r="A17" i="6"/>
  <c r="BC16" i="6"/>
  <c r="AP16" i="6"/>
  <c r="AQ16" i="6" s="1"/>
  <c r="AR16" i="6" s="1"/>
  <c r="AI16" i="6"/>
  <c r="T16" i="6"/>
  <c r="Z16" i="6" s="1"/>
  <c r="AA16" i="6" s="1"/>
  <c r="A16" i="6"/>
  <c r="BC15" i="6"/>
  <c r="AP15" i="6"/>
  <c r="AQ15" i="6" s="1"/>
  <c r="AR15" i="6" s="1"/>
  <c r="AI15" i="6"/>
  <c r="T15" i="6"/>
  <c r="Z15" i="6" s="1"/>
  <c r="AA15" i="6" s="1"/>
  <c r="A15" i="6"/>
  <c r="AP14" i="6"/>
  <c r="AQ14" i="6" s="1"/>
  <c r="AR14" i="6" s="1"/>
  <c r="AI14" i="6"/>
  <c r="T14" i="6"/>
  <c r="BB14" i="6" s="1"/>
  <c r="A14" i="6"/>
  <c r="BC13" i="6"/>
  <c r="AP13" i="6"/>
  <c r="AQ13" i="6" s="1"/>
  <c r="AR13" i="6" s="1"/>
  <c r="AI13" i="6"/>
  <c r="T13" i="6"/>
  <c r="Z13" i="6" s="1"/>
  <c r="AA13" i="6" s="1"/>
  <c r="A13" i="6"/>
  <c r="BC12" i="6"/>
  <c r="BB12" i="6"/>
  <c r="AP12" i="6"/>
  <c r="AQ12" i="6" s="1"/>
  <c r="AR12" i="6" s="1"/>
  <c r="AI12" i="6"/>
  <c r="T12" i="6"/>
  <c r="Z12" i="6" s="1"/>
  <c r="AA12" i="6" s="1"/>
  <c r="A12" i="6"/>
  <c r="BB78" i="6" l="1"/>
  <c r="BE78" i="6" s="1"/>
  <c r="BF78" i="6" s="1"/>
  <c r="BB66" i="6"/>
  <c r="BE66" i="6" s="1"/>
  <c r="BF66" i="6" s="1"/>
  <c r="BB67" i="6"/>
  <c r="BE67" i="6" s="1"/>
  <c r="BF67" i="6" s="1"/>
  <c r="BB68" i="6"/>
  <c r="BE68" i="6" s="1"/>
  <c r="BF68" i="6" s="1"/>
  <c r="BB63" i="6"/>
  <c r="BE63" i="6" s="1"/>
  <c r="BF63" i="6" s="1"/>
  <c r="BB65" i="6"/>
  <c r="BE65" i="6" s="1"/>
  <c r="BF65" i="6" s="1"/>
  <c r="BB79" i="6"/>
  <c r="BE79" i="6" s="1"/>
  <c r="BF79" i="6" s="1"/>
  <c r="BB64" i="6"/>
  <c r="BE64" i="6" s="1"/>
  <c r="BF64" i="6" s="1"/>
  <c r="BB80" i="6"/>
  <c r="BE80" i="6" s="1"/>
  <c r="BF80" i="6" s="1"/>
  <c r="BB60" i="6"/>
  <c r="BE60" i="6" s="1"/>
  <c r="BF60" i="6" s="1"/>
  <c r="BB58" i="6"/>
  <c r="BE58" i="6" s="1"/>
  <c r="BF58" i="6" s="1"/>
  <c r="BB62" i="6"/>
  <c r="BE62" i="6" s="1"/>
  <c r="BF62" i="6" s="1"/>
  <c r="BB57" i="6"/>
  <c r="BE57" i="6" s="1"/>
  <c r="BF57" i="6" s="1"/>
  <c r="BB59" i="6"/>
  <c r="BE59" i="6" s="1"/>
  <c r="BF59" i="6" s="1"/>
  <c r="BB61" i="6"/>
  <c r="BE61" i="6" s="1"/>
  <c r="BF61" i="6" s="1"/>
  <c r="BB50" i="6"/>
  <c r="BE50" i="6" s="1"/>
  <c r="BF50" i="6" s="1"/>
  <c r="BB48" i="6"/>
  <c r="BE48" i="6" s="1"/>
  <c r="BF48" i="6" s="1"/>
  <c r="BB52" i="6"/>
  <c r="BE52" i="6" s="1"/>
  <c r="BF52" i="6" s="1"/>
  <c r="BB47" i="6"/>
  <c r="BE47" i="6" s="1"/>
  <c r="BF47" i="6" s="1"/>
  <c r="BB49" i="6"/>
  <c r="BE49" i="6" s="1"/>
  <c r="BF49" i="6" s="1"/>
  <c r="BB51" i="6"/>
  <c r="BE51" i="6" s="1"/>
  <c r="BF51" i="6" s="1"/>
  <c r="BB54" i="6"/>
  <c r="BE54" i="6" s="1"/>
  <c r="BF54" i="6" s="1"/>
  <c r="BB53" i="6"/>
  <c r="BE53" i="6" s="1"/>
  <c r="BF53" i="6" s="1"/>
  <c r="BB56" i="6"/>
  <c r="BE56" i="6" s="1"/>
  <c r="BF56" i="6" s="1"/>
  <c r="BB42" i="6"/>
  <c r="BE42" i="6" s="1"/>
  <c r="BF42" i="6" s="1"/>
  <c r="BB46" i="6"/>
  <c r="BE46" i="6" s="1"/>
  <c r="BF46" i="6" s="1"/>
  <c r="BB44" i="6"/>
  <c r="BE44" i="6" s="1"/>
  <c r="BF44" i="6" s="1"/>
  <c r="BB43" i="6"/>
  <c r="BE43" i="6" s="1"/>
  <c r="BF43" i="6" s="1"/>
  <c r="BB45" i="6"/>
  <c r="BE45" i="6" s="1"/>
  <c r="BF45" i="6" s="1"/>
  <c r="BB55" i="6"/>
  <c r="BE55" i="6" s="1"/>
  <c r="BF55" i="6" s="1"/>
  <c r="BB32" i="6"/>
  <c r="BE32" i="6" s="1"/>
  <c r="BF32" i="6" s="1"/>
  <c r="BB39" i="6"/>
  <c r="BE39" i="6" s="1"/>
  <c r="BF39" i="6" s="1"/>
  <c r="BB30" i="6"/>
  <c r="BE30" i="6" s="1"/>
  <c r="BF30" i="6" s="1"/>
  <c r="BB29" i="6"/>
  <c r="BE29" i="6" s="1"/>
  <c r="BF29" i="6" s="1"/>
  <c r="BB41" i="6"/>
  <c r="BE41" i="6" s="1"/>
  <c r="BF41" i="6" s="1"/>
  <c r="BB35" i="6"/>
  <c r="BE35" i="6" s="1"/>
  <c r="BF35" i="6" s="1"/>
  <c r="BB28" i="6"/>
  <c r="BE28" i="6" s="1"/>
  <c r="BF28" i="6" s="1"/>
  <c r="BB38" i="6"/>
  <c r="BE38" i="6" s="1"/>
  <c r="BF38" i="6" s="1"/>
  <c r="BB40" i="6"/>
  <c r="BE40" i="6" s="1"/>
  <c r="BF40" i="6" s="1"/>
  <c r="BB81" i="6"/>
  <c r="BE81" i="6" s="1"/>
  <c r="BF81" i="6" s="1"/>
  <c r="BB31" i="6"/>
  <c r="BE31" i="6" s="1"/>
  <c r="BF31" i="6" s="1"/>
  <c r="BB33" i="6"/>
  <c r="BE33" i="6" s="1"/>
  <c r="BF33" i="6" s="1"/>
  <c r="BB34" i="6"/>
  <c r="BE34" i="6" s="1"/>
  <c r="BF34" i="6" s="1"/>
  <c r="BB37" i="6"/>
  <c r="BE37" i="6" s="1"/>
  <c r="BF37" i="6" s="1"/>
  <c r="BB36" i="6"/>
  <c r="BE36" i="6" s="1"/>
  <c r="BF36" i="6" s="1"/>
  <c r="BB19" i="6"/>
  <c r="BE19" i="6" s="1"/>
  <c r="BF19" i="6" s="1"/>
  <c r="BB20" i="6"/>
  <c r="BE20" i="6" s="1"/>
  <c r="BF20" i="6" s="1"/>
  <c r="Z22" i="6"/>
  <c r="AA22" i="6" s="1"/>
  <c r="BB25" i="6"/>
  <c r="BE25" i="6" s="1"/>
  <c r="BF25" i="6" s="1"/>
  <c r="BB21" i="6"/>
  <c r="BE21" i="6" s="1"/>
  <c r="BF21" i="6" s="1"/>
  <c r="BB24" i="6"/>
  <c r="BE24" i="6" s="1"/>
  <c r="BF24" i="6" s="1"/>
  <c r="BB18" i="6"/>
  <c r="BE18" i="6" s="1"/>
  <c r="BF18" i="6" s="1"/>
  <c r="BB23" i="6"/>
  <c r="BE23" i="6" s="1"/>
  <c r="BF23" i="6" s="1"/>
  <c r="BE22" i="6"/>
  <c r="BF22" i="6" s="1"/>
  <c r="BB16" i="6"/>
  <c r="BE16" i="6" s="1"/>
  <c r="BF16" i="6" s="1"/>
  <c r="BB26" i="6"/>
  <c r="BE26" i="6" s="1"/>
  <c r="BF26" i="6" s="1"/>
  <c r="BB13" i="6"/>
  <c r="BE13" i="6" s="1"/>
  <c r="BF13" i="6" s="1"/>
  <c r="BB15" i="6"/>
  <c r="BE15" i="6" s="1"/>
  <c r="BF15" i="6" s="1"/>
  <c r="BB17" i="6"/>
  <c r="BE17" i="6" s="1"/>
  <c r="BF17" i="6" s="1"/>
  <c r="BE12" i="6"/>
  <c r="BF12" i="6" s="1"/>
  <c r="BE14" i="6"/>
  <c r="BF14" i="6" s="1"/>
  <c r="Z14" i="6"/>
  <c r="AA14" i="6" s="1"/>
  <c r="BD83" i="6" l="1"/>
  <c r="AY83" i="6"/>
  <c r="AX83" i="6"/>
  <c r="AW83" i="6"/>
  <c r="AV83" i="6"/>
  <c r="AU83" i="6"/>
  <c r="AT83" i="6"/>
  <c r="AS83" i="6"/>
  <c r="AH83" i="6"/>
  <c r="AG83" i="6"/>
  <c r="AF83" i="6"/>
  <c r="Y83" i="6"/>
  <c r="X83" i="6"/>
  <c r="W83" i="6"/>
  <c r="V83" i="6"/>
  <c r="U83" i="6"/>
  <c r="S83" i="6"/>
  <c r="R83" i="6"/>
  <c r="B83" i="6"/>
  <c r="BC82" i="6"/>
  <c r="AP82" i="6"/>
  <c r="AQ82" i="6" s="1"/>
  <c r="AR82" i="6" s="1"/>
  <c r="AI82" i="6"/>
  <c r="T82" i="6"/>
  <c r="A82" i="6"/>
  <c r="BC27" i="6"/>
  <c r="AP27" i="6"/>
  <c r="AQ27" i="6" s="1"/>
  <c r="AR27" i="6" s="1"/>
  <c r="AI27" i="6"/>
  <c r="T27" i="6"/>
  <c r="A27" i="6"/>
  <c r="BC11" i="6"/>
  <c r="AP11" i="6"/>
  <c r="AQ11" i="6" s="1"/>
  <c r="AR11" i="6" s="1"/>
  <c r="AI11" i="6"/>
  <c r="T11" i="6"/>
  <c r="A11" i="6"/>
  <c r="BC10" i="6"/>
  <c r="AP10" i="6"/>
  <c r="AQ10" i="6" s="1"/>
  <c r="AR10" i="6" s="1"/>
  <c r="AI10" i="6"/>
  <c r="T10" i="6"/>
  <c r="BB10" i="6" s="1"/>
  <c r="A10" i="6"/>
  <c r="BC9" i="6"/>
  <c r="AP9" i="6"/>
  <c r="AQ9" i="6" s="1"/>
  <c r="AR9" i="6" s="1"/>
  <c r="AI9" i="6"/>
  <c r="T9" i="6"/>
  <c r="BB9" i="6" s="1"/>
  <c r="A9" i="6"/>
  <c r="BC8" i="6"/>
  <c r="AP8" i="6"/>
  <c r="AQ8" i="6" s="1"/>
  <c r="AR8" i="6" s="1"/>
  <c r="AI8" i="6"/>
  <c r="T8" i="6"/>
  <c r="Z8" i="6" s="1"/>
  <c r="AA8" i="6" s="1"/>
  <c r="A8" i="6"/>
  <c r="BC7" i="6"/>
  <c r="AP7" i="6"/>
  <c r="AQ7" i="6" s="1"/>
  <c r="AR7" i="6" s="1"/>
  <c r="AI7" i="6"/>
  <c r="T7" i="6"/>
  <c r="A7" i="6"/>
  <c r="BC6" i="6"/>
  <c r="AP6" i="6"/>
  <c r="AQ6" i="6" s="1"/>
  <c r="AR6" i="6" s="1"/>
  <c r="AI6" i="6"/>
  <c r="T6" i="6"/>
  <c r="Z6" i="6" s="1"/>
  <c r="AA6" i="6" s="1"/>
  <c r="A6" i="6"/>
  <c r="BE9" i="6" l="1"/>
  <c r="BF9" i="6" s="1"/>
  <c r="BB8" i="6"/>
  <c r="BE8" i="6" s="1"/>
  <c r="BF8" i="6" s="1"/>
  <c r="BE10" i="6"/>
  <c r="BF10" i="6" s="1"/>
  <c r="BB6" i="6"/>
  <c r="BE6" i="6" s="1"/>
  <c r="BF6" i="6" s="1"/>
  <c r="Z9" i="6"/>
  <c r="AA9" i="6" s="1"/>
  <c r="Z10" i="6"/>
  <c r="AA10" i="6" s="1"/>
  <c r="AI83" i="6"/>
  <c r="A83" i="6"/>
  <c r="AQ83" i="6"/>
  <c r="AR83" i="6"/>
  <c r="BB11" i="6"/>
  <c r="BE11" i="6" s="1"/>
  <c r="BF11" i="6" s="1"/>
  <c r="Z11" i="6"/>
  <c r="AA11" i="6" s="1"/>
  <c r="T83" i="6"/>
  <c r="Z83" i="6" s="1"/>
  <c r="AA83" i="6" s="1"/>
  <c r="BB82" i="6"/>
  <c r="BE82" i="6" s="1"/>
  <c r="BF82" i="6" s="1"/>
  <c r="Z82" i="6"/>
  <c r="AA82" i="6" s="1"/>
  <c r="BC83" i="6"/>
  <c r="BB7" i="6"/>
  <c r="BE7" i="6" s="1"/>
  <c r="BF7" i="6" s="1"/>
  <c r="Z7" i="6"/>
  <c r="AA7" i="6" s="1"/>
  <c r="BB27" i="6"/>
  <c r="BE27" i="6" s="1"/>
  <c r="BF27" i="6" s="1"/>
  <c r="Z27" i="6"/>
  <c r="AA27" i="6" s="1"/>
  <c r="BE83" i="6" l="1"/>
  <c r="BB83" i="6"/>
  <c r="BF83" i="6" l="1"/>
  <c r="BC108" i="5" l="1"/>
  <c r="AP108" i="5"/>
  <c r="AQ108" i="5" s="1"/>
  <c r="AR108" i="5" s="1"/>
  <c r="AI108" i="5"/>
  <c r="T108" i="5"/>
  <c r="Z108" i="5" s="1"/>
  <c r="AA108" i="5" s="1"/>
  <c r="A108" i="5"/>
  <c r="BC107" i="5"/>
  <c r="AP107" i="5"/>
  <c r="AQ107" i="5" s="1"/>
  <c r="AR107" i="5" s="1"/>
  <c r="AI107" i="5"/>
  <c r="T107" i="5"/>
  <c r="Z107" i="5" s="1"/>
  <c r="AA107" i="5" s="1"/>
  <c r="A107" i="5"/>
  <c r="BC106" i="5"/>
  <c r="AP106" i="5"/>
  <c r="AQ106" i="5" s="1"/>
  <c r="AR106" i="5" s="1"/>
  <c r="AI106" i="5"/>
  <c r="T106" i="5"/>
  <c r="Z106" i="5" s="1"/>
  <c r="AA106" i="5" s="1"/>
  <c r="A106" i="5"/>
  <c r="BC105" i="5"/>
  <c r="AP105" i="5"/>
  <c r="AQ105" i="5" s="1"/>
  <c r="AR105" i="5" s="1"/>
  <c r="AI105" i="5"/>
  <c r="T105" i="5"/>
  <c r="Z105" i="5" s="1"/>
  <c r="AA105" i="5" s="1"/>
  <c r="A105" i="5"/>
  <c r="BC104" i="5"/>
  <c r="AP104" i="5"/>
  <c r="AQ104" i="5" s="1"/>
  <c r="AR104" i="5" s="1"/>
  <c r="AI104" i="5"/>
  <c r="T104" i="5"/>
  <c r="Z104" i="5" s="1"/>
  <c r="AA104" i="5" s="1"/>
  <c r="A104" i="5"/>
  <c r="BC103" i="5"/>
  <c r="AP103" i="5"/>
  <c r="AQ103" i="5" s="1"/>
  <c r="AR103" i="5" s="1"/>
  <c r="AI103" i="5"/>
  <c r="T103" i="5"/>
  <c r="Z103" i="5" s="1"/>
  <c r="AA103" i="5" s="1"/>
  <c r="A103" i="5"/>
  <c r="BC102" i="5"/>
  <c r="AP102" i="5"/>
  <c r="AQ102" i="5" s="1"/>
  <c r="AR102" i="5" s="1"/>
  <c r="AI102" i="5"/>
  <c r="T102" i="5"/>
  <c r="Z102" i="5" s="1"/>
  <c r="AA102" i="5" s="1"/>
  <c r="A102" i="5"/>
  <c r="BC101" i="5"/>
  <c r="AP101" i="5"/>
  <c r="AQ101" i="5" s="1"/>
  <c r="AR101" i="5" s="1"/>
  <c r="AI101" i="5"/>
  <c r="T101" i="5"/>
  <c r="Z101" i="5" s="1"/>
  <c r="AA101" i="5" s="1"/>
  <c r="A101" i="5"/>
  <c r="BC100" i="5"/>
  <c r="AP100" i="5"/>
  <c r="AQ100" i="5" s="1"/>
  <c r="AR100" i="5" s="1"/>
  <c r="AI100" i="5"/>
  <c r="T100" i="5"/>
  <c r="Z100" i="5" s="1"/>
  <c r="AA100" i="5" s="1"/>
  <c r="A100" i="5"/>
  <c r="BC99" i="5"/>
  <c r="AP99" i="5"/>
  <c r="AQ99" i="5" s="1"/>
  <c r="AR99" i="5" s="1"/>
  <c r="AI99" i="5"/>
  <c r="T99" i="5"/>
  <c r="Z99" i="5" s="1"/>
  <c r="AA99" i="5" s="1"/>
  <c r="A99" i="5"/>
  <c r="BC98" i="5"/>
  <c r="AP98" i="5"/>
  <c r="AQ98" i="5" s="1"/>
  <c r="AR98" i="5" s="1"/>
  <c r="AI98" i="5"/>
  <c r="T98" i="5"/>
  <c r="Z98" i="5" s="1"/>
  <c r="AA98" i="5" s="1"/>
  <c r="A98" i="5"/>
  <c r="BC97" i="5"/>
  <c r="AP97" i="5"/>
  <c r="AQ97" i="5" s="1"/>
  <c r="AR97" i="5" s="1"/>
  <c r="AI97" i="5"/>
  <c r="T97" i="5"/>
  <c r="Z97" i="5" s="1"/>
  <c r="AA97" i="5" s="1"/>
  <c r="A97" i="5"/>
  <c r="BC96" i="5"/>
  <c r="AP96" i="5"/>
  <c r="AQ96" i="5" s="1"/>
  <c r="AR96" i="5" s="1"/>
  <c r="AI96" i="5"/>
  <c r="T96" i="5"/>
  <c r="Z96" i="5" s="1"/>
  <c r="AA96" i="5" s="1"/>
  <c r="A96" i="5"/>
  <c r="BC95" i="5"/>
  <c r="AP95" i="5"/>
  <c r="AQ95" i="5" s="1"/>
  <c r="AR95" i="5" s="1"/>
  <c r="AI95" i="5"/>
  <c r="T95" i="5"/>
  <c r="Z95" i="5" s="1"/>
  <c r="AA95" i="5" s="1"/>
  <c r="A95" i="5"/>
  <c r="BC109" i="5"/>
  <c r="AP109" i="5"/>
  <c r="AQ109" i="5" s="1"/>
  <c r="AR109" i="5" s="1"/>
  <c r="AI109" i="5"/>
  <c r="T109" i="5"/>
  <c r="Z109" i="5" s="1"/>
  <c r="AA109" i="5" s="1"/>
  <c r="A109" i="5"/>
  <c r="BC94" i="5"/>
  <c r="AP94" i="5"/>
  <c r="AQ94" i="5" s="1"/>
  <c r="AR94" i="5" s="1"/>
  <c r="AI94" i="5"/>
  <c r="T94" i="5"/>
  <c r="Z94" i="5" s="1"/>
  <c r="AA94" i="5" s="1"/>
  <c r="A94" i="5"/>
  <c r="BC93" i="5"/>
  <c r="AP93" i="5"/>
  <c r="AQ93" i="5" s="1"/>
  <c r="AR93" i="5" s="1"/>
  <c r="AI93" i="5"/>
  <c r="T93" i="5"/>
  <c r="Z93" i="5" s="1"/>
  <c r="AA93" i="5" s="1"/>
  <c r="A93" i="5"/>
  <c r="BC92" i="5"/>
  <c r="AP92" i="5"/>
  <c r="AQ92" i="5" s="1"/>
  <c r="AR92" i="5" s="1"/>
  <c r="AI92" i="5"/>
  <c r="T92" i="5"/>
  <c r="Z92" i="5" s="1"/>
  <c r="AA92" i="5" s="1"/>
  <c r="A92" i="5"/>
  <c r="BC91" i="5"/>
  <c r="AP91" i="5"/>
  <c r="AQ91" i="5" s="1"/>
  <c r="AR91" i="5" s="1"/>
  <c r="AI91" i="5"/>
  <c r="T91" i="5"/>
  <c r="Z91" i="5" s="1"/>
  <c r="AA91" i="5" s="1"/>
  <c r="A91" i="5"/>
  <c r="BC90" i="5"/>
  <c r="AP90" i="5"/>
  <c r="AQ90" i="5" s="1"/>
  <c r="AR90" i="5" s="1"/>
  <c r="AI90" i="5"/>
  <c r="T90" i="5"/>
  <c r="Z90" i="5" s="1"/>
  <c r="AA90" i="5" s="1"/>
  <c r="A90" i="5"/>
  <c r="BC89" i="5"/>
  <c r="AP89" i="5"/>
  <c r="AQ89" i="5" s="1"/>
  <c r="AR89" i="5" s="1"/>
  <c r="AI89" i="5"/>
  <c r="T89" i="5"/>
  <c r="Z89" i="5" s="1"/>
  <c r="AA89" i="5" s="1"/>
  <c r="A89" i="5"/>
  <c r="BC75" i="5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B103" i="5" l="1"/>
  <c r="BE103" i="5" s="1"/>
  <c r="BF103" i="5" s="1"/>
  <c r="BB105" i="5"/>
  <c r="BE105" i="5" s="1"/>
  <c r="BF105" i="5" s="1"/>
  <c r="BB107" i="5"/>
  <c r="BE107" i="5" s="1"/>
  <c r="BF107" i="5" s="1"/>
  <c r="BB104" i="5"/>
  <c r="BE104" i="5" s="1"/>
  <c r="BF104" i="5" s="1"/>
  <c r="BB106" i="5"/>
  <c r="BE106" i="5" s="1"/>
  <c r="BF106" i="5" s="1"/>
  <c r="BB108" i="5"/>
  <c r="BE108" i="5" s="1"/>
  <c r="BF108" i="5" s="1"/>
  <c r="BB101" i="5"/>
  <c r="BE101" i="5" s="1"/>
  <c r="BF101" i="5" s="1"/>
  <c r="BB94" i="5"/>
  <c r="BE94" i="5" s="1"/>
  <c r="BF94" i="5" s="1"/>
  <c r="BB92" i="5"/>
  <c r="BE92" i="5" s="1"/>
  <c r="BF92" i="5" s="1"/>
  <c r="BB99" i="5"/>
  <c r="BE99" i="5" s="1"/>
  <c r="BF99" i="5" s="1"/>
  <c r="BB90" i="5"/>
  <c r="BE90" i="5" s="1"/>
  <c r="BF90" i="5" s="1"/>
  <c r="BB97" i="5"/>
  <c r="BE97" i="5" s="1"/>
  <c r="BF97" i="5" s="1"/>
  <c r="BB95" i="5"/>
  <c r="BE95" i="5" s="1"/>
  <c r="BF95" i="5" s="1"/>
  <c r="BB89" i="5"/>
  <c r="BE89" i="5" s="1"/>
  <c r="BF89" i="5" s="1"/>
  <c r="BB91" i="5"/>
  <c r="BE91" i="5" s="1"/>
  <c r="BF91" i="5" s="1"/>
  <c r="BB93" i="5"/>
  <c r="BE93" i="5" s="1"/>
  <c r="BF93" i="5" s="1"/>
  <c r="BB109" i="5"/>
  <c r="BE109" i="5" s="1"/>
  <c r="BF109" i="5" s="1"/>
  <c r="BB96" i="5"/>
  <c r="BE96" i="5" s="1"/>
  <c r="BF96" i="5" s="1"/>
  <c r="BB98" i="5"/>
  <c r="BE98" i="5" s="1"/>
  <c r="BF98" i="5" s="1"/>
  <c r="BB100" i="5"/>
  <c r="BE100" i="5" s="1"/>
  <c r="BF100" i="5" s="1"/>
  <c r="BB102" i="5"/>
  <c r="BE102" i="5" s="1"/>
  <c r="BF102" i="5" s="1"/>
  <c r="BE76" i="5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111" i="5"/>
  <c r="AY111" i="5"/>
  <c r="AX111" i="5"/>
  <c r="AW111" i="5"/>
  <c r="AV111" i="5"/>
  <c r="AU111" i="5"/>
  <c r="AT111" i="5"/>
  <c r="AS111" i="5"/>
  <c r="AH111" i="5"/>
  <c r="AG111" i="5"/>
  <c r="AF111" i="5"/>
  <c r="Y111" i="5"/>
  <c r="X111" i="5"/>
  <c r="W111" i="5"/>
  <c r="V111" i="5"/>
  <c r="U111" i="5"/>
  <c r="S111" i="5"/>
  <c r="R111" i="5"/>
  <c r="B111" i="5"/>
  <c r="BC110" i="5"/>
  <c r="AP110" i="5"/>
  <c r="AQ110" i="5" s="1"/>
  <c r="AR110" i="5" s="1"/>
  <c r="AI110" i="5"/>
  <c r="T110" i="5"/>
  <c r="A110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110" i="5"/>
  <c r="BE110" i="5" s="1"/>
  <c r="BF110" i="5" s="1"/>
  <c r="Z110" i="5"/>
  <c r="AA110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111" i="5"/>
  <c r="AA14" i="5"/>
  <c r="BE30" i="4"/>
  <c r="BF30" i="4" s="1"/>
  <c r="BE28" i="4"/>
  <c r="BF28" i="4" s="1"/>
  <c r="AR111" i="5"/>
  <c r="AI111" i="5"/>
  <c r="A111" i="5"/>
  <c r="T111" i="5"/>
  <c r="Z111" i="5" s="1"/>
  <c r="AA111" i="5" s="1"/>
  <c r="BC111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111" i="5" l="1"/>
  <c r="BE111" i="5"/>
  <c r="BC125" i="4"/>
  <c r="AP125" i="4"/>
  <c r="AQ125" i="4" s="1"/>
  <c r="AR125" i="4" s="1"/>
  <c r="AI125" i="4"/>
  <c r="T125" i="4"/>
  <c r="Z125" i="4" s="1"/>
  <c r="AA125" i="4" s="1"/>
  <c r="A125" i="4"/>
  <c r="BF111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<sst xmlns="http://schemas.openxmlformats.org/spreadsheetml/2006/main" count="1673" uniqueCount="75">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</sst>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97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E68C-9A1A-42FC-86F3-42169EEFB2FB}">
  <dimension ref="A1:BF83"/>
  <sheetViews>
    <sheetView tabSelected="1" workbookViewId="0">
      <pane xSplit="11" ySplit="5" topLeftCell="L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65</v>
      </c>
      <c r="F6" s="36">
        <v>46263</v>
      </c>
      <c r="G6" s="24" t="s">
        <v>59</v>
      </c>
      <c r="H6" s="24">
        <v>58</v>
      </c>
      <c r="I6" s="24">
        <v>3</v>
      </c>
      <c r="J6" s="24" t="s">
        <v>67</v>
      </c>
      <c r="K6" s="25">
        <v>162011737</v>
      </c>
      <c r="L6" s="26">
        <v>46263</v>
      </c>
      <c r="M6" s="38">
        <v>46266</v>
      </c>
      <c r="N6" s="52">
        <v>16646</v>
      </c>
      <c r="O6" s="27"/>
      <c r="P6" s="27"/>
      <c r="Q6" s="27"/>
      <c r="R6" s="46">
        <v>4864.6000000000004</v>
      </c>
      <c r="S6" s="46">
        <v>1170.0000000000005</v>
      </c>
      <c r="T6" s="46">
        <f t="shared" ref="T6:T82" si="0">+R6-S6</f>
        <v>3694.6</v>
      </c>
      <c r="U6" s="46">
        <v>3828</v>
      </c>
      <c r="V6" s="46"/>
      <c r="W6" s="46"/>
      <c r="X6" s="46">
        <v>3845.8</v>
      </c>
      <c r="Y6" s="46"/>
      <c r="Z6" s="46">
        <f>+T6-X6</f>
        <v>-151.20000000000027</v>
      </c>
      <c r="AA6" s="39">
        <f>Z6/T6</f>
        <v>-4.0924592648730655E-2</v>
      </c>
      <c r="AB6" s="73"/>
      <c r="AC6" s="73">
        <v>3694.61</v>
      </c>
      <c r="AD6" s="73"/>
      <c r="AE6" s="39"/>
      <c r="AF6" s="74"/>
      <c r="AG6" s="74"/>
      <c r="AH6" s="75"/>
      <c r="AI6" s="75">
        <f t="shared" ref="AI6:AI82" si="1">+AG6+AH6</f>
        <v>0</v>
      </c>
      <c r="AJ6" s="32"/>
      <c r="AK6" s="32"/>
      <c r="AL6" s="32"/>
      <c r="AM6" s="33"/>
      <c r="AN6" s="33"/>
      <c r="AO6" s="33"/>
      <c r="AP6" s="34">
        <f t="shared" ref="AP6:AP82" si="2">ROUNDUP((AO6-AM6+(AO6&lt;AM6))*24,0)</f>
        <v>0</v>
      </c>
      <c r="AQ6" s="32">
        <f t="shared" ref="AQ6:AQ82" si="3">IF(AP6&gt;5,(AP6-5),0)</f>
        <v>0</v>
      </c>
      <c r="AR6" s="32">
        <f t="shared" ref="AR6:AR82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3694.61</v>
      </c>
      <c r="BC6" s="45">
        <f>+X6</f>
        <v>3845.8</v>
      </c>
      <c r="BD6" s="45"/>
      <c r="BE6" s="45">
        <f t="shared" ref="BE6:BE82" si="5">+BB6-BC6</f>
        <v>-151.19000000000005</v>
      </c>
      <c r="BF6" s="39">
        <f t="shared" ref="BF6:BF83" si="6">+BE6/BB6</f>
        <v>-4.0921775234733858E-2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66</v>
      </c>
      <c r="F7" s="36">
        <v>46263</v>
      </c>
      <c r="G7" s="24" t="s">
        <v>59</v>
      </c>
      <c r="H7" s="24">
        <v>59</v>
      </c>
      <c r="I7" s="24">
        <v>8</v>
      </c>
      <c r="J7" s="24" t="s">
        <v>66</v>
      </c>
      <c r="K7" s="25">
        <v>162003229</v>
      </c>
      <c r="L7" s="26">
        <v>46263</v>
      </c>
      <c r="M7" s="38">
        <v>46266</v>
      </c>
      <c r="N7" s="52">
        <v>16647</v>
      </c>
      <c r="O7" s="27"/>
      <c r="P7" s="27"/>
      <c r="Q7" s="27"/>
      <c r="R7" s="46">
        <v>4626.3900000000003</v>
      </c>
      <c r="S7" s="46">
        <v>1083.6900000000005</v>
      </c>
      <c r="T7" s="46">
        <f t="shared" si="0"/>
        <v>3542.7</v>
      </c>
      <c r="U7" s="46">
        <v>3541.8</v>
      </c>
      <c r="V7" s="46"/>
      <c r="W7" s="46"/>
      <c r="X7" s="46">
        <v>3514.2</v>
      </c>
      <c r="Y7" s="46"/>
      <c r="Z7" s="46">
        <f>+T7-X7</f>
        <v>28.5</v>
      </c>
      <c r="AA7" s="39">
        <f>Z7/T7</f>
        <v>8.0447116605978503E-3</v>
      </c>
      <c r="AB7" s="73"/>
      <c r="AC7" s="73">
        <v>3542.66</v>
      </c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3542.66</v>
      </c>
      <c r="BC7" s="45">
        <f>+X7</f>
        <v>3514.2</v>
      </c>
      <c r="BD7" s="45"/>
      <c r="BE7" s="45">
        <f t="shared" si="5"/>
        <v>28.460000000000036</v>
      </c>
      <c r="BF7" s="39">
        <f t="shared" si="6"/>
        <v>8.0335115421745346E-3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65</v>
      </c>
      <c r="F8" s="36">
        <v>46264</v>
      </c>
      <c r="G8" s="24" t="s">
        <v>69</v>
      </c>
      <c r="H8" s="24">
        <v>59</v>
      </c>
      <c r="I8" s="24">
        <v>1</v>
      </c>
      <c r="J8" s="24" t="s">
        <v>67</v>
      </c>
      <c r="K8" s="25">
        <v>162011739</v>
      </c>
      <c r="L8" s="26">
        <v>46264</v>
      </c>
      <c r="M8" s="38">
        <v>46267</v>
      </c>
      <c r="N8" s="52">
        <v>16651</v>
      </c>
      <c r="O8" s="27"/>
      <c r="P8" s="27"/>
      <c r="Q8" s="27"/>
      <c r="R8" s="46">
        <v>5161.2</v>
      </c>
      <c r="S8" s="46">
        <v>1151.2999999999997</v>
      </c>
      <c r="T8" s="46">
        <f t="shared" si="0"/>
        <v>4009.9</v>
      </c>
      <c r="U8" s="46">
        <v>4119.3999999999996</v>
      </c>
      <c r="V8" s="46"/>
      <c r="W8" s="46"/>
      <c r="X8" s="46">
        <v>4241.8</v>
      </c>
      <c r="Y8" s="46"/>
      <c r="Z8" s="46">
        <f>+T8-X8</f>
        <v>-231.90000000000009</v>
      </c>
      <c r="AA8" s="39">
        <f>Z8/T8</f>
        <v>-5.7831866131324995E-2</v>
      </c>
      <c r="AB8" s="73">
        <v>4017.75</v>
      </c>
      <c r="AC8" s="73">
        <v>4009.9</v>
      </c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4009.9</v>
      </c>
      <c r="BC8" s="45">
        <f>+X8</f>
        <v>4241.8</v>
      </c>
      <c r="BD8" s="45"/>
      <c r="BE8" s="45">
        <f t="shared" si="5"/>
        <v>-231.90000000000009</v>
      </c>
      <c r="BF8" s="39">
        <f t="shared" si="6"/>
        <v>-5.7831866131324995E-2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46264</v>
      </c>
      <c r="G9" s="24" t="s">
        <v>59</v>
      </c>
      <c r="H9" s="24">
        <v>59</v>
      </c>
      <c r="I9" s="24">
        <v>3</v>
      </c>
      <c r="J9" s="24" t="s">
        <v>67</v>
      </c>
      <c r="K9" s="25">
        <v>162011741</v>
      </c>
      <c r="L9" s="26">
        <v>46265</v>
      </c>
      <c r="M9" s="38">
        <v>46266</v>
      </c>
      <c r="N9" s="52">
        <v>16649</v>
      </c>
      <c r="O9" s="27"/>
      <c r="P9" s="27"/>
      <c r="Q9" s="27"/>
      <c r="R9" s="46">
        <v>5057.6000000000004</v>
      </c>
      <c r="S9" s="46">
        <v>1163.5000000000005</v>
      </c>
      <c r="T9" s="46">
        <f t="shared" si="0"/>
        <v>3894.1</v>
      </c>
      <c r="U9" s="46">
        <v>3939.4</v>
      </c>
      <c r="V9" s="46"/>
      <c r="W9" s="46"/>
      <c r="X9" s="46">
        <v>3901.4</v>
      </c>
      <c r="Y9" s="46"/>
      <c r="Z9" s="46">
        <f>+T9-X9</f>
        <v>-7.3000000000001819</v>
      </c>
      <c r="AA9" s="39">
        <f>Z9/T9</f>
        <v>-1.87463085180149E-3</v>
      </c>
      <c r="AB9" s="73"/>
      <c r="AC9" s="73">
        <v>3894.07</v>
      </c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3894.07</v>
      </c>
      <c r="BC9" s="45">
        <f>+X9</f>
        <v>3901.4</v>
      </c>
      <c r="BD9" s="45"/>
      <c r="BE9" s="45">
        <f t="shared" si="5"/>
        <v>-7.3299999999999272</v>
      </c>
      <c r="BF9" s="39">
        <f t="shared" si="6"/>
        <v>-1.882349315754449E-3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46265</v>
      </c>
      <c r="G10" s="24" t="s">
        <v>59</v>
      </c>
      <c r="H10" s="24">
        <v>58</v>
      </c>
      <c r="I10" s="24">
        <v>1</v>
      </c>
      <c r="J10" s="24" t="s">
        <v>67</v>
      </c>
      <c r="K10" s="25">
        <v>162011743</v>
      </c>
      <c r="L10" s="26">
        <v>46265</v>
      </c>
      <c r="M10" s="38">
        <v>46267</v>
      </c>
      <c r="N10" s="52">
        <v>16652</v>
      </c>
      <c r="O10" s="27"/>
      <c r="P10" s="27"/>
      <c r="Q10" s="27"/>
      <c r="R10" s="46">
        <v>5167.6000000000004</v>
      </c>
      <c r="S10" s="46">
        <v>1187.9000000000005</v>
      </c>
      <c r="T10" s="46">
        <f t="shared" si="0"/>
        <v>3979.7</v>
      </c>
      <c r="U10" s="46">
        <v>4018.6</v>
      </c>
      <c r="V10" s="46"/>
      <c r="W10" s="46"/>
      <c r="X10" s="46">
        <v>3935.8</v>
      </c>
      <c r="Y10" s="46"/>
      <c r="Z10" s="46">
        <f>+T10-X10</f>
        <v>43.899999999999636</v>
      </c>
      <c r="AA10" s="39">
        <f>Z10/T10</f>
        <v>1.1030982234841731E-2</v>
      </c>
      <c r="AB10" s="73"/>
      <c r="AC10" s="73">
        <v>3979.74</v>
      </c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3979.74</v>
      </c>
      <c r="BC10" s="45">
        <f>+X10</f>
        <v>3935.8</v>
      </c>
      <c r="BD10" s="45"/>
      <c r="BE10" s="45">
        <f t="shared" si="5"/>
        <v>43.9399999999996</v>
      </c>
      <c r="BF10" s="39">
        <f t="shared" si="6"/>
        <v>1.1040922271304055E-2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65</v>
      </c>
      <c r="F11" s="36">
        <v>46265</v>
      </c>
      <c r="G11" s="24" t="s">
        <v>59</v>
      </c>
      <c r="H11" s="24">
        <v>58</v>
      </c>
      <c r="I11" s="24">
        <v>2</v>
      </c>
      <c r="J11" s="24" t="s">
        <v>67</v>
      </c>
      <c r="K11" s="25">
        <v>162011744</v>
      </c>
      <c r="L11" s="26">
        <v>46266</v>
      </c>
      <c r="M11" s="38">
        <v>46268</v>
      </c>
      <c r="N11" s="52">
        <v>16653</v>
      </c>
      <c r="O11" s="27"/>
      <c r="P11" s="27"/>
      <c r="Q11" s="27"/>
      <c r="R11" s="46">
        <v>4831.6000000000004</v>
      </c>
      <c r="S11" s="46">
        <v>1181.1000000000004</v>
      </c>
      <c r="T11" s="46">
        <f t="shared" si="0"/>
        <v>3650.5</v>
      </c>
      <c r="U11" s="46">
        <v>3901</v>
      </c>
      <c r="V11" s="46"/>
      <c r="W11" s="46"/>
      <c r="X11" s="46">
        <v>3714.4</v>
      </c>
      <c r="Y11" s="46"/>
      <c r="Z11" s="46">
        <f>+T11-X11</f>
        <v>-63.900000000000091</v>
      </c>
      <c r="AA11" s="39">
        <f>Z11/T11</f>
        <v>-1.7504451445007559E-2</v>
      </c>
      <c r="AB11" s="73"/>
      <c r="AC11" s="73"/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3650.5</v>
      </c>
      <c r="BC11" s="45">
        <f>+X11</f>
        <v>3714.4</v>
      </c>
      <c r="BD11" s="45"/>
      <c r="BE11" s="45">
        <f t="shared" si="5"/>
        <v>-63.900000000000091</v>
      </c>
      <c r="BF11" s="39">
        <f t="shared" si="6"/>
        <v>-1.7504451445007559E-2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65</v>
      </c>
      <c r="F12" s="36">
        <v>46267</v>
      </c>
      <c r="G12" s="24" t="s">
        <v>59</v>
      </c>
      <c r="H12" s="24">
        <v>58</v>
      </c>
      <c r="I12" s="24">
        <v>9</v>
      </c>
      <c r="J12" s="24" t="s">
        <v>67</v>
      </c>
      <c r="K12" s="25">
        <v>162011745</v>
      </c>
      <c r="L12" s="26">
        <v>46268</v>
      </c>
      <c r="M12" s="38">
        <v>46269</v>
      </c>
      <c r="N12" s="52">
        <v>16656</v>
      </c>
      <c r="O12" s="27"/>
      <c r="P12" s="27"/>
      <c r="Q12" s="27"/>
      <c r="R12" s="46">
        <v>4302.8</v>
      </c>
      <c r="S12" s="46">
        <v>1029</v>
      </c>
      <c r="T12" s="46">
        <f t="shared" ref="T12:T26" si="7">+R12-S12</f>
        <v>3273.8</v>
      </c>
      <c r="U12" s="46">
        <v>3425</v>
      </c>
      <c r="V12" s="46"/>
      <c r="W12" s="46"/>
      <c r="X12" s="46">
        <v>3166.6</v>
      </c>
      <c r="Y12" s="46"/>
      <c r="Z12" s="46">
        <f>+T12-X12</f>
        <v>107.20000000000027</v>
      </c>
      <c r="AA12" s="39">
        <f>Z12/T12</f>
        <v>3.2744822530392896E-2</v>
      </c>
      <c r="AB12" s="73">
        <v>3301.56</v>
      </c>
      <c r="AC12" s="73"/>
      <c r="AD12" s="73"/>
      <c r="AE12" s="39"/>
      <c r="AF12" s="74"/>
      <c r="AG12" s="74"/>
      <c r="AH12" s="75"/>
      <c r="AI12" s="75">
        <f t="shared" ref="AI12:AI26" si="8">+AG12+AH12</f>
        <v>0</v>
      </c>
      <c r="AJ12" s="32"/>
      <c r="AK12" s="32"/>
      <c r="AL12" s="32"/>
      <c r="AM12" s="33"/>
      <c r="AN12" s="33"/>
      <c r="AO12" s="33"/>
      <c r="AP12" s="34">
        <f t="shared" ref="AP12:AP26" si="9">ROUNDUP((AO12-AM12+(AO12&lt;AM12))*24,0)</f>
        <v>0</v>
      </c>
      <c r="AQ12" s="32">
        <f t="shared" ref="AQ12:AQ26" si="10">IF(AP12&gt;5,(AP12-5),0)</f>
        <v>0</v>
      </c>
      <c r="AR12" s="32">
        <f t="shared" ref="AR12:AR26" si="11">+AQ12*8850</f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3301.56</v>
      </c>
      <c r="BC12" s="45">
        <f>+X12</f>
        <v>3166.6</v>
      </c>
      <c r="BD12" s="45"/>
      <c r="BE12" s="45">
        <f t="shared" ref="BE12:BE26" si="12">+BB12-BC12</f>
        <v>134.96000000000004</v>
      </c>
      <c r="BF12" s="39">
        <f t="shared" ref="BF12:BF26" si="13">+BE12/BB12</f>
        <v>4.0877645718993459E-2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65</v>
      </c>
      <c r="F13" s="36">
        <v>46269</v>
      </c>
      <c r="G13" s="24" t="s">
        <v>59</v>
      </c>
      <c r="H13" s="24">
        <v>58</v>
      </c>
      <c r="I13" s="24">
        <v>1</v>
      </c>
      <c r="J13" s="24" t="s">
        <v>67</v>
      </c>
      <c r="K13" s="25">
        <v>162011747</v>
      </c>
      <c r="L13" s="26">
        <v>46269</v>
      </c>
      <c r="M13" s="38">
        <v>46270</v>
      </c>
      <c r="N13" s="52">
        <v>16659</v>
      </c>
      <c r="O13" s="27"/>
      <c r="P13" s="27"/>
      <c r="Q13" s="27"/>
      <c r="R13" s="46">
        <v>5196.0600000000004</v>
      </c>
      <c r="S13" s="46">
        <v>1181.6600000000003</v>
      </c>
      <c r="T13" s="46">
        <f t="shared" si="7"/>
        <v>4014.4</v>
      </c>
      <c r="U13" s="46">
        <v>4025</v>
      </c>
      <c r="V13" s="46"/>
      <c r="W13" s="46"/>
      <c r="X13" s="46">
        <v>4018.4</v>
      </c>
      <c r="Y13" s="46"/>
      <c r="Z13" s="46">
        <f>+T13-X13</f>
        <v>-4</v>
      </c>
      <c r="AA13" s="39">
        <f>Z13/T13</f>
        <v>-9.9641291351135913E-4</v>
      </c>
      <c r="AB13" s="73">
        <v>4023.44</v>
      </c>
      <c r="AC13" s="73"/>
      <c r="AD13" s="73"/>
      <c r="AE13" s="39"/>
      <c r="AF13" s="74"/>
      <c r="AG13" s="74"/>
      <c r="AH13" s="75"/>
      <c r="AI13" s="75">
        <f t="shared" si="8"/>
        <v>0</v>
      </c>
      <c r="AJ13" s="32"/>
      <c r="AK13" s="32"/>
      <c r="AL13" s="32"/>
      <c r="AM13" s="33"/>
      <c r="AN13" s="33"/>
      <c r="AO13" s="33"/>
      <c r="AP13" s="34">
        <f t="shared" si="9"/>
        <v>0</v>
      </c>
      <c r="AQ13" s="32">
        <f t="shared" si="10"/>
        <v>0</v>
      </c>
      <c r="AR13" s="32">
        <f t="shared" si="11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>IF(AND(AB13="",AC13=""),T13,IF(AC13="",AB13,AC13))</f>
        <v>4023.44</v>
      </c>
      <c r="BC13" s="45">
        <f>+X13</f>
        <v>4018.4</v>
      </c>
      <c r="BD13" s="45"/>
      <c r="BE13" s="45">
        <f t="shared" si="12"/>
        <v>5.0399999999999636</v>
      </c>
      <c r="BF13" s="39">
        <f t="shared" si="13"/>
        <v>1.2526594158232666E-3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63</v>
      </c>
      <c r="F14" s="36">
        <v>46269</v>
      </c>
      <c r="G14" s="24" t="s">
        <v>59</v>
      </c>
      <c r="H14" s="24">
        <v>59</v>
      </c>
      <c r="I14" s="24">
        <v>0</v>
      </c>
      <c r="J14" s="24" t="s">
        <v>63</v>
      </c>
      <c r="K14" s="25">
        <v>162006498</v>
      </c>
      <c r="L14" s="26">
        <v>46269</v>
      </c>
      <c r="M14" s="38">
        <v>46271</v>
      </c>
      <c r="N14" s="52">
        <v>16660</v>
      </c>
      <c r="O14" s="27"/>
      <c r="P14" s="27"/>
      <c r="Q14" s="27"/>
      <c r="R14" s="46">
        <v>5313.05</v>
      </c>
      <c r="S14" s="46">
        <v>1171.1500000000005</v>
      </c>
      <c r="T14" s="46">
        <f t="shared" si="7"/>
        <v>4141.8999999999996</v>
      </c>
      <c r="U14" s="46">
        <v>4171.6000000000004</v>
      </c>
      <c r="V14" s="46"/>
      <c r="W14" s="46"/>
      <c r="X14" s="46">
        <v>4098.3999999999996</v>
      </c>
      <c r="Y14" s="46"/>
      <c r="Z14" s="46">
        <f>+T14-X14</f>
        <v>43.5</v>
      </c>
      <c r="AA14" s="39">
        <f>Z14/T14</f>
        <v>1.050242642265627E-2</v>
      </c>
      <c r="AB14" s="73">
        <v>4141.8999999999996</v>
      </c>
      <c r="AC14" s="73"/>
      <c r="AD14" s="73"/>
      <c r="AE14" s="39"/>
      <c r="AF14" s="74"/>
      <c r="AG14" s="74"/>
      <c r="AH14" s="75"/>
      <c r="AI14" s="75">
        <f t="shared" si="8"/>
        <v>0</v>
      </c>
      <c r="AJ14" s="32"/>
      <c r="AK14" s="32"/>
      <c r="AL14" s="32"/>
      <c r="AM14" s="33"/>
      <c r="AN14" s="33"/>
      <c r="AO14" s="33"/>
      <c r="AP14" s="34">
        <f t="shared" si="9"/>
        <v>0</v>
      </c>
      <c r="AQ14" s="32">
        <f t="shared" si="10"/>
        <v>0</v>
      </c>
      <c r="AR14" s="32">
        <f t="shared" si="11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>IF(AND(AB14="",AC14=""),T14,IF(AC14="",AB14,AC14))</f>
        <v>4141.8999999999996</v>
      </c>
      <c r="BC14" s="45">
        <f>+X14</f>
        <v>4098.3999999999996</v>
      </c>
      <c r="BD14" s="45"/>
      <c r="BE14" s="45">
        <f t="shared" si="12"/>
        <v>43.5</v>
      </c>
      <c r="BF14" s="39">
        <f t="shared" si="13"/>
        <v>1.050242642265627E-2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46270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162004434</v>
      </c>
      <c r="L15" s="26">
        <v>46270</v>
      </c>
      <c r="M15" s="38">
        <v>46272</v>
      </c>
      <c r="N15" s="52">
        <v>16663</v>
      </c>
      <c r="O15" s="27"/>
      <c r="P15" s="27"/>
      <c r="Q15" s="27"/>
      <c r="R15" s="46">
        <v>5133.2299999999996</v>
      </c>
      <c r="S15" s="46">
        <v>1209.6299999999997</v>
      </c>
      <c r="T15" s="46">
        <f t="shared" si="7"/>
        <v>3923.6</v>
      </c>
      <c r="U15" s="46">
        <v>3956.2</v>
      </c>
      <c r="V15" s="46"/>
      <c r="W15" s="46"/>
      <c r="X15" s="46">
        <v>3786.6</v>
      </c>
      <c r="Y15" s="46"/>
      <c r="Z15" s="46">
        <f>+T15-X15</f>
        <v>137</v>
      </c>
      <c r="AA15" s="39">
        <f>Z15/T15</f>
        <v>3.4916913039045774E-2</v>
      </c>
      <c r="AB15" s="73">
        <v>3923.6</v>
      </c>
      <c r="AC15" s="73"/>
      <c r="AD15" s="73"/>
      <c r="AE15" s="39"/>
      <c r="AF15" s="74"/>
      <c r="AG15" s="74"/>
      <c r="AH15" s="75"/>
      <c r="AI15" s="75">
        <f t="shared" si="8"/>
        <v>0</v>
      </c>
      <c r="AJ15" s="32"/>
      <c r="AK15" s="32"/>
      <c r="AL15" s="32"/>
      <c r="AM15" s="33"/>
      <c r="AN15" s="33"/>
      <c r="AO15" s="33"/>
      <c r="AP15" s="34">
        <f t="shared" si="9"/>
        <v>0</v>
      </c>
      <c r="AQ15" s="32">
        <f t="shared" si="10"/>
        <v>0</v>
      </c>
      <c r="AR15" s="32">
        <f t="shared" si="11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>IF(AND(AB15="",AC15=""),T15,IF(AC15="",AB15,AC15))</f>
        <v>3923.6</v>
      </c>
      <c r="BC15" s="45">
        <f>+X15</f>
        <v>3786.6</v>
      </c>
      <c r="BD15" s="45"/>
      <c r="BE15" s="45">
        <f t="shared" si="12"/>
        <v>137</v>
      </c>
      <c r="BF15" s="39">
        <f t="shared" si="13"/>
        <v>3.4916913039045774E-2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65</v>
      </c>
      <c r="F16" s="36">
        <v>46270</v>
      </c>
      <c r="G16" s="24" t="s">
        <v>59</v>
      </c>
      <c r="H16" s="24">
        <v>58</v>
      </c>
      <c r="I16" s="24">
        <v>8</v>
      </c>
      <c r="J16" s="24" t="s">
        <v>67</v>
      </c>
      <c r="K16" s="25">
        <v>162011750</v>
      </c>
      <c r="L16" s="26">
        <v>46270</v>
      </c>
      <c r="M16" s="38">
        <v>46272</v>
      </c>
      <c r="N16" s="52">
        <v>16662</v>
      </c>
      <c r="O16" s="27"/>
      <c r="P16" s="27"/>
      <c r="Q16" s="27"/>
      <c r="R16" s="46">
        <v>4430.3999999999996</v>
      </c>
      <c r="S16" s="46">
        <v>1040.6999999999998</v>
      </c>
      <c r="T16" s="46">
        <f t="shared" si="7"/>
        <v>3389.7</v>
      </c>
      <c r="U16" s="46">
        <v>3505.8</v>
      </c>
      <c r="V16" s="46"/>
      <c r="W16" s="46"/>
      <c r="X16" s="46">
        <v>3326.68</v>
      </c>
      <c r="Y16" s="46"/>
      <c r="Z16" s="46">
        <f>+T16-X16</f>
        <v>63.019999999999982</v>
      </c>
      <c r="AA16" s="39">
        <f>Z16/T16</f>
        <v>1.8591615777207419E-2</v>
      </c>
      <c r="AB16" s="73">
        <v>3422.44</v>
      </c>
      <c r="AC16" s="73"/>
      <c r="AD16" s="73"/>
      <c r="AE16" s="39"/>
      <c r="AF16" s="74"/>
      <c r="AG16" s="74"/>
      <c r="AH16" s="75"/>
      <c r="AI16" s="75">
        <f t="shared" si="8"/>
        <v>0</v>
      </c>
      <c r="AJ16" s="32"/>
      <c r="AK16" s="32"/>
      <c r="AL16" s="32"/>
      <c r="AM16" s="33"/>
      <c r="AN16" s="33"/>
      <c r="AO16" s="33"/>
      <c r="AP16" s="34">
        <f t="shared" si="9"/>
        <v>0</v>
      </c>
      <c r="AQ16" s="32">
        <f t="shared" si="10"/>
        <v>0</v>
      </c>
      <c r="AR16" s="32">
        <f t="shared" si="11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>IF(AND(AB16="",AC16=""),T16,IF(AC16="",AB16,AC16))</f>
        <v>3422.44</v>
      </c>
      <c r="BC16" s="45">
        <f>+X16</f>
        <v>3326.68</v>
      </c>
      <c r="BD16" s="45"/>
      <c r="BE16" s="45">
        <f t="shared" si="12"/>
        <v>95.760000000000218</v>
      </c>
      <c r="BF16" s="39">
        <f t="shared" si="13"/>
        <v>2.7980037633968811E-2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46270</v>
      </c>
      <c r="G17" s="24" t="s">
        <v>59</v>
      </c>
      <c r="H17" s="24">
        <v>58</v>
      </c>
      <c r="I17" s="24">
        <v>5</v>
      </c>
      <c r="J17" s="24" t="s">
        <v>63</v>
      </c>
      <c r="K17" s="25">
        <v>162006500</v>
      </c>
      <c r="L17" s="26">
        <v>46270</v>
      </c>
      <c r="M17" s="38">
        <v>46272</v>
      </c>
      <c r="N17" s="52">
        <v>16664</v>
      </c>
      <c r="O17" s="27"/>
      <c r="P17" s="27"/>
      <c r="Q17" s="27"/>
      <c r="R17" s="46">
        <v>4818.75</v>
      </c>
      <c r="S17" s="46">
        <v>1103.8499999999999</v>
      </c>
      <c r="T17" s="46">
        <f t="shared" si="7"/>
        <v>3714.9</v>
      </c>
      <c r="U17" s="46">
        <v>3718.2</v>
      </c>
      <c r="V17" s="46"/>
      <c r="W17" s="46"/>
      <c r="X17" s="46">
        <v>3665</v>
      </c>
      <c r="Y17" s="46"/>
      <c r="Z17" s="46">
        <f>+T17-X17</f>
        <v>49.900000000000091</v>
      </c>
      <c r="AA17" s="39">
        <f>Z17/T17</f>
        <v>1.3432393873320975E-2</v>
      </c>
      <c r="AB17" s="73">
        <v>3714.9</v>
      </c>
      <c r="AC17" s="73"/>
      <c r="AD17" s="73"/>
      <c r="AE17" s="39"/>
      <c r="AF17" s="74"/>
      <c r="AG17" s="74"/>
      <c r="AH17" s="75"/>
      <c r="AI17" s="75">
        <f t="shared" si="8"/>
        <v>0</v>
      </c>
      <c r="AJ17" s="32"/>
      <c r="AK17" s="32"/>
      <c r="AL17" s="32"/>
      <c r="AM17" s="33"/>
      <c r="AN17" s="33"/>
      <c r="AO17" s="33"/>
      <c r="AP17" s="34">
        <f t="shared" si="9"/>
        <v>0</v>
      </c>
      <c r="AQ17" s="32">
        <f t="shared" si="10"/>
        <v>0</v>
      </c>
      <c r="AR17" s="32">
        <f t="shared" si="11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>IF(AND(AB17="",AC17=""),T17,IF(AC17="",AB17,AC17))</f>
        <v>3714.9</v>
      </c>
      <c r="BC17" s="45">
        <f>+X17</f>
        <v>3665</v>
      </c>
      <c r="BD17" s="45"/>
      <c r="BE17" s="45">
        <f t="shared" si="12"/>
        <v>49.900000000000091</v>
      </c>
      <c r="BF17" s="39">
        <f t="shared" si="13"/>
        <v>1.3432393873320975E-2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63</v>
      </c>
      <c r="F18" s="36">
        <v>46271</v>
      </c>
      <c r="G18" s="24" t="s">
        <v>59</v>
      </c>
      <c r="H18" s="24">
        <v>58</v>
      </c>
      <c r="I18" s="24">
        <v>5</v>
      </c>
      <c r="J18" s="24" t="s">
        <v>63</v>
      </c>
      <c r="K18" s="25">
        <v>162006503</v>
      </c>
      <c r="L18" s="26">
        <v>46271</v>
      </c>
      <c r="M18" s="38">
        <v>46272</v>
      </c>
      <c r="N18" s="52">
        <v>16666</v>
      </c>
      <c r="O18" s="27"/>
      <c r="P18" s="27"/>
      <c r="Q18" s="27"/>
      <c r="R18" s="46">
        <v>4817.9799999999996</v>
      </c>
      <c r="S18" s="46">
        <v>1106.3799999999997</v>
      </c>
      <c r="T18" s="46">
        <f t="shared" ref="T18:T25" si="14">+R18-S18</f>
        <v>3711.6</v>
      </c>
      <c r="U18" s="46">
        <v>3715.8</v>
      </c>
      <c r="V18" s="46"/>
      <c r="W18" s="46"/>
      <c r="X18" s="46">
        <v>3669.6</v>
      </c>
      <c r="Y18" s="46"/>
      <c r="Z18" s="46">
        <f>+T18-X18</f>
        <v>42</v>
      </c>
      <c r="AA18" s="39">
        <f>Z18/T18</f>
        <v>1.1315874555447785E-2</v>
      </c>
      <c r="AB18" s="73">
        <v>3711.6</v>
      </c>
      <c r="AC18" s="73"/>
      <c r="AD18" s="73"/>
      <c r="AE18" s="39"/>
      <c r="AF18" s="74"/>
      <c r="AG18" s="74"/>
      <c r="AH18" s="75"/>
      <c r="AI18" s="75">
        <f t="shared" ref="AI18:AI25" si="15">+AG18+AH18</f>
        <v>0</v>
      </c>
      <c r="AJ18" s="32"/>
      <c r="AK18" s="32"/>
      <c r="AL18" s="32"/>
      <c r="AM18" s="33"/>
      <c r="AN18" s="33"/>
      <c r="AO18" s="33"/>
      <c r="AP18" s="34">
        <f t="shared" ref="AP18:AP25" si="16">ROUNDUP((AO18-AM18+(AO18&lt;AM18))*24,0)</f>
        <v>0</v>
      </c>
      <c r="AQ18" s="32">
        <f t="shared" ref="AQ18:AQ25" si="17">IF(AP18&gt;5,(AP18-5),0)</f>
        <v>0</v>
      </c>
      <c r="AR18" s="32">
        <f t="shared" ref="AR18:AR25" si="18">+AQ18*8850</f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>IF(AND(AB18="",AC18=""),T18,IF(AC18="",AB18,AC18))</f>
        <v>3711.6</v>
      </c>
      <c r="BC18" s="45">
        <f>+X18</f>
        <v>3669.6</v>
      </c>
      <c r="BD18" s="45"/>
      <c r="BE18" s="45">
        <f t="shared" ref="BE18:BE25" si="19">+BB18-BC18</f>
        <v>42</v>
      </c>
      <c r="BF18" s="39">
        <f t="shared" ref="BF18:BF25" si="20">+BE18/BB18</f>
        <v>1.1315874555447785E-2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46271</v>
      </c>
      <c r="G19" s="24" t="s">
        <v>59</v>
      </c>
      <c r="H19" s="24">
        <v>58</v>
      </c>
      <c r="I19" s="24">
        <v>0</v>
      </c>
      <c r="J19" s="24" t="s">
        <v>67</v>
      </c>
      <c r="K19" s="25">
        <v>162011752</v>
      </c>
      <c r="L19" s="26">
        <v>46271</v>
      </c>
      <c r="M19" s="38">
        <v>46273</v>
      </c>
      <c r="N19" s="52">
        <v>16670</v>
      </c>
      <c r="O19" s="27"/>
      <c r="P19" s="27"/>
      <c r="Q19" s="27"/>
      <c r="R19" s="46">
        <v>5161</v>
      </c>
      <c r="S19" s="46">
        <v>1221.9000000000001</v>
      </c>
      <c r="T19" s="46">
        <f t="shared" ref="T19" si="21">+R19-S19</f>
        <v>3939.1</v>
      </c>
      <c r="U19" s="46">
        <v>4052.8</v>
      </c>
      <c r="V19" s="46"/>
      <c r="W19" s="46"/>
      <c r="X19" s="46">
        <v>3957.8</v>
      </c>
      <c r="Y19" s="46"/>
      <c r="Z19" s="46">
        <f>+T19-X19</f>
        <v>-18.700000000000273</v>
      </c>
      <c r="AA19" s="39">
        <f>Z19/T19</f>
        <v>-4.7472772968445267E-3</v>
      </c>
      <c r="AB19" s="73">
        <v>3944.96</v>
      </c>
      <c r="AC19" s="73"/>
      <c r="AD19" s="73"/>
      <c r="AE19" s="39"/>
      <c r="AF19" s="74"/>
      <c r="AG19" s="74"/>
      <c r="AH19" s="75"/>
      <c r="AI19" s="75">
        <f t="shared" ref="AI19" si="22">+AG19+AH19</f>
        <v>0</v>
      </c>
      <c r="AJ19" s="32"/>
      <c r="AK19" s="32"/>
      <c r="AL19" s="32"/>
      <c r="AM19" s="33"/>
      <c r="AN19" s="33"/>
      <c r="AO19" s="33"/>
      <c r="AP19" s="34">
        <f t="shared" ref="AP19" si="23">ROUNDUP((AO19-AM19+(AO19&lt;AM19))*24,0)</f>
        <v>0</v>
      </c>
      <c r="AQ19" s="32">
        <f t="shared" ref="AQ19" si="24">IF(AP19&gt;5,(AP19-5),0)</f>
        <v>0</v>
      </c>
      <c r="AR19" s="32">
        <f t="shared" ref="AR19" si="25">+AQ19*8850</f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>IF(AND(AB19="",AC19=""),T19,IF(AC19="",AB19,AC19))</f>
        <v>3944.96</v>
      </c>
      <c r="BC19" s="45">
        <f>+X19</f>
        <v>3957.8</v>
      </c>
      <c r="BD19" s="45"/>
      <c r="BE19" s="45">
        <f t="shared" ref="BE19" si="26">+BB19-BC19</f>
        <v>-12.840000000000146</v>
      </c>
      <c r="BF19" s="39">
        <f t="shared" ref="BF19" si="27">+BE19/BB19</f>
        <v>-3.2547858533420225E-3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64</v>
      </c>
      <c r="F20" s="36">
        <v>46271</v>
      </c>
      <c r="G20" s="24" t="s">
        <v>59</v>
      </c>
      <c r="H20" s="24">
        <v>59</v>
      </c>
      <c r="I20" s="24">
        <v>1</v>
      </c>
      <c r="J20" s="24" t="s">
        <v>64</v>
      </c>
      <c r="K20" s="25">
        <v>162004436</v>
      </c>
      <c r="L20" s="26">
        <v>46272</v>
      </c>
      <c r="M20" s="38">
        <v>46273</v>
      </c>
      <c r="N20" s="52">
        <v>16671</v>
      </c>
      <c r="O20" s="27"/>
      <c r="P20" s="27"/>
      <c r="Q20" s="27"/>
      <c r="R20" s="46">
        <v>5234.79</v>
      </c>
      <c r="S20" s="46">
        <v>1225.19</v>
      </c>
      <c r="T20" s="46">
        <f t="shared" si="14"/>
        <v>4009.6</v>
      </c>
      <c r="U20" s="46">
        <v>4032.4</v>
      </c>
      <c r="V20" s="46"/>
      <c r="W20" s="46"/>
      <c r="X20" s="46">
        <v>3977.6</v>
      </c>
      <c r="Y20" s="46"/>
      <c r="Z20" s="46">
        <f>+T20-X20</f>
        <v>32</v>
      </c>
      <c r="AA20" s="39">
        <f>Z20/T20</f>
        <v>7.9808459696727851E-3</v>
      </c>
      <c r="AB20" s="73">
        <v>4009.55</v>
      </c>
      <c r="AC20" s="73"/>
      <c r="AD20" s="73"/>
      <c r="AE20" s="39"/>
      <c r="AF20" s="74"/>
      <c r="AG20" s="74"/>
      <c r="AH20" s="75"/>
      <c r="AI20" s="75">
        <f t="shared" si="15"/>
        <v>0</v>
      </c>
      <c r="AJ20" s="32"/>
      <c r="AK20" s="32"/>
      <c r="AL20" s="32"/>
      <c r="AM20" s="33"/>
      <c r="AN20" s="33"/>
      <c r="AO20" s="33"/>
      <c r="AP20" s="34">
        <f t="shared" si="16"/>
        <v>0</v>
      </c>
      <c r="AQ20" s="32">
        <f t="shared" si="17"/>
        <v>0</v>
      </c>
      <c r="AR20" s="32">
        <f t="shared" si="18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>IF(AND(AB20="",AC20=""),T20,IF(AC20="",AB20,AC20))</f>
        <v>4009.55</v>
      </c>
      <c r="BC20" s="45">
        <f>+X20</f>
        <v>3977.6</v>
      </c>
      <c r="BD20" s="45"/>
      <c r="BE20" s="45">
        <f t="shared" si="19"/>
        <v>31.950000000000273</v>
      </c>
      <c r="BF20" s="39">
        <f t="shared" si="20"/>
        <v>7.9684752653041546E-3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46271</v>
      </c>
      <c r="G21" s="24" t="s">
        <v>59</v>
      </c>
      <c r="H21" s="24">
        <v>58</v>
      </c>
      <c r="I21" s="24">
        <v>2</v>
      </c>
      <c r="J21" s="24" t="s">
        <v>67</v>
      </c>
      <c r="K21" s="25">
        <v>162011753</v>
      </c>
      <c r="L21" s="26">
        <v>46272</v>
      </c>
      <c r="M21" s="38">
        <v>46273</v>
      </c>
      <c r="N21" s="52">
        <v>16673</v>
      </c>
      <c r="O21" s="27"/>
      <c r="P21" s="27"/>
      <c r="Q21" s="27"/>
      <c r="R21" s="46">
        <v>4954</v>
      </c>
      <c r="S21" s="46">
        <v>1167.9000000000001</v>
      </c>
      <c r="T21" s="46">
        <f t="shared" si="14"/>
        <v>3786.1</v>
      </c>
      <c r="U21" s="46">
        <v>3920.4</v>
      </c>
      <c r="V21" s="46"/>
      <c r="W21" s="46"/>
      <c r="X21" s="46">
        <v>3840.4</v>
      </c>
      <c r="Y21" s="46"/>
      <c r="Z21" s="46">
        <f>+T21-X21</f>
        <v>-54.300000000000182</v>
      </c>
      <c r="AA21" s="39">
        <f>Z21/T21</f>
        <v>-1.4341934972663211E-2</v>
      </c>
      <c r="AB21" s="73">
        <v>3798.36</v>
      </c>
      <c r="AC21" s="73"/>
      <c r="AD21" s="73"/>
      <c r="AE21" s="39"/>
      <c r="AF21" s="74"/>
      <c r="AG21" s="74"/>
      <c r="AH21" s="75"/>
      <c r="AI21" s="75">
        <f t="shared" si="15"/>
        <v>0</v>
      </c>
      <c r="AJ21" s="32"/>
      <c r="AK21" s="32"/>
      <c r="AL21" s="32"/>
      <c r="AM21" s="33"/>
      <c r="AN21" s="33"/>
      <c r="AO21" s="33"/>
      <c r="AP21" s="34">
        <f t="shared" si="16"/>
        <v>0</v>
      </c>
      <c r="AQ21" s="32">
        <f t="shared" si="17"/>
        <v>0</v>
      </c>
      <c r="AR21" s="32">
        <f t="shared" si="18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>IF(AND(AB21="",AC21=""),T21,IF(AC21="",AB21,AC21))</f>
        <v>3798.36</v>
      </c>
      <c r="BC21" s="45">
        <f>+X21</f>
        <v>3840.4</v>
      </c>
      <c r="BD21" s="45"/>
      <c r="BE21" s="45">
        <f t="shared" si="19"/>
        <v>-42.039999999999964</v>
      </c>
      <c r="BF21" s="39">
        <f t="shared" si="20"/>
        <v>-1.1067934582293401E-2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46272</v>
      </c>
      <c r="G22" s="24" t="s">
        <v>59</v>
      </c>
      <c r="H22" s="24">
        <v>59</v>
      </c>
      <c r="I22" s="24">
        <v>0</v>
      </c>
      <c r="J22" s="24" t="s">
        <v>63</v>
      </c>
      <c r="K22" s="25">
        <v>162006507</v>
      </c>
      <c r="L22" s="26">
        <v>46272</v>
      </c>
      <c r="M22" s="38">
        <v>46273</v>
      </c>
      <c r="N22" s="52">
        <v>16674</v>
      </c>
      <c r="O22" s="27"/>
      <c r="P22" s="27"/>
      <c r="Q22" s="27"/>
      <c r="R22" s="46">
        <v>5352.78</v>
      </c>
      <c r="S22" s="46">
        <v>1241.9799999999996</v>
      </c>
      <c r="T22" s="46">
        <f t="shared" si="14"/>
        <v>4110.8</v>
      </c>
      <c r="U22" s="46">
        <v>4116.3999999999996</v>
      </c>
      <c r="V22" s="46"/>
      <c r="W22" s="46"/>
      <c r="X22" s="46">
        <v>4013</v>
      </c>
      <c r="Y22" s="46"/>
      <c r="Z22" s="46">
        <f>+T22-X22</f>
        <v>97.800000000000182</v>
      </c>
      <c r="AA22" s="39">
        <f>Z22/T22</f>
        <v>2.3790989588401326E-2</v>
      </c>
      <c r="AB22" s="73">
        <v>4110.8</v>
      </c>
      <c r="AC22" s="73"/>
      <c r="AD22" s="73"/>
      <c r="AE22" s="39"/>
      <c r="AF22" s="74"/>
      <c r="AG22" s="74"/>
      <c r="AH22" s="75"/>
      <c r="AI22" s="75">
        <f t="shared" si="15"/>
        <v>0</v>
      </c>
      <c r="AJ22" s="32"/>
      <c r="AK22" s="32"/>
      <c r="AL22" s="32"/>
      <c r="AM22" s="33"/>
      <c r="AN22" s="33"/>
      <c r="AO22" s="33"/>
      <c r="AP22" s="34">
        <f t="shared" si="16"/>
        <v>0</v>
      </c>
      <c r="AQ22" s="32">
        <f t="shared" si="17"/>
        <v>0</v>
      </c>
      <c r="AR22" s="32">
        <f t="shared" si="18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>IF(AND(AB22="",AC22=""),T22,IF(AC22="",AB22,AC22))</f>
        <v>4110.8</v>
      </c>
      <c r="BC22" s="45">
        <f>+X22</f>
        <v>4013</v>
      </c>
      <c r="BD22" s="45"/>
      <c r="BE22" s="45">
        <f t="shared" si="19"/>
        <v>97.800000000000182</v>
      </c>
      <c r="BF22" s="39">
        <f t="shared" si="20"/>
        <v>2.3790989588401326E-2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46272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162004437</v>
      </c>
      <c r="L23" s="26">
        <v>46272</v>
      </c>
      <c r="M23" s="38">
        <v>46273</v>
      </c>
      <c r="N23" s="52">
        <v>16672</v>
      </c>
      <c r="O23" s="27"/>
      <c r="P23" s="27"/>
      <c r="Q23" s="27"/>
      <c r="R23" s="46">
        <v>5341.74</v>
      </c>
      <c r="S23" s="46">
        <v>1231.54</v>
      </c>
      <c r="T23" s="46">
        <f t="shared" si="14"/>
        <v>4110.2</v>
      </c>
      <c r="U23" s="46">
        <v>4121</v>
      </c>
      <c r="V23" s="46"/>
      <c r="W23" s="46"/>
      <c r="X23" s="46">
        <v>4005.6</v>
      </c>
      <c r="Y23" s="46"/>
      <c r="Z23" s="46">
        <f>+T23-X23</f>
        <v>104.59999999999991</v>
      </c>
      <c r="AA23" s="39">
        <f>Z23/T23</f>
        <v>2.5448883266021096E-2</v>
      </c>
      <c r="AB23" s="73">
        <v>4110.1499999999996</v>
      </c>
      <c r="AC23" s="73"/>
      <c r="AD23" s="73"/>
      <c r="AE23" s="39"/>
      <c r="AF23" s="74"/>
      <c r="AG23" s="74"/>
      <c r="AH23" s="75"/>
      <c r="AI23" s="75">
        <f t="shared" si="15"/>
        <v>0</v>
      </c>
      <c r="AJ23" s="32"/>
      <c r="AK23" s="32"/>
      <c r="AL23" s="32"/>
      <c r="AM23" s="33"/>
      <c r="AN23" s="33"/>
      <c r="AO23" s="33"/>
      <c r="AP23" s="34">
        <f t="shared" si="16"/>
        <v>0</v>
      </c>
      <c r="AQ23" s="32">
        <f t="shared" si="17"/>
        <v>0</v>
      </c>
      <c r="AR23" s="32">
        <f t="shared" si="18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>IF(AND(AB23="",AC23=""),T23,IF(AC23="",AB23,AC23))</f>
        <v>4110.1499999999996</v>
      </c>
      <c r="BC23" s="45">
        <f>+X23</f>
        <v>4005.6</v>
      </c>
      <c r="BD23" s="45"/>
      <c r="BE23" s="45">
        <f t="shared" si="19"/>
        <v>104.54999999999973</v>
      </c>
      <c r="BF23" s="39">
        <f t="shared" si="20"/>
        <v>2.5437027845698998E-2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65</v>
      </c>
      <c r="F24" s="36">
        <v>46272</v>
      </c>
      <c r="G24" s="24" t="s">
        <v>59</v>
      </c>
      <c r="H24" s="24">
        <v>58</v>
      </c>
      <c r="I24" s="24">
        <v>1</v>
      </c>
      <c r="J24" s="24" t="s">
        <v>67</v>
      </c>
      <c r="K24" s="25">
        <v>162011755</v>
      </c>
      <c r="L24" s="26">
        <v>46272</v>
      </c>
      <c r="M24" s="38">
        <v>46273</v>
      </c>
      <c r="N24" s="52">
        <v>16675</v>
      </c>
      <c r="O24" s="27"/>
      <c r="P24" s="27"/>
      <c r="Q24" s="27"/>
      <c r="R24" s="46">
        <v>5139.8</v>
      </c>
      <c r="S24" s="46">
        <v>1195</v>
      </c>
      <c r="T24" s="46">
        <f t="shared" si="14"/>
        <v>3944.8</v>
      </c>
      <c r="U24" s="46">
        <v>4005.4</v>
      </c>
      <c r="V24" s="46"/>
      <c r="W24" s="46"/>
      <c r="X24" s="46">
        <v>3904.8</v>
      </c>
      <c r="Y24" s="46"/>
      <c r="Z24" s="46">
        <f>+T24-X24</f>
        <v>40</v>
      </c>
      <c r="AA24" s="39">
        <f>Z24/T24</f>
        <v>1.0139931048468869E-2</v>
      </c>
      <c r="AB24" s="73">
        <v>3953.32</v>
      </c>
      <c r="AC24" s="73"/>
      <c r="AD24" s="73"/>
      <c r="AE24" s="39"/>
      <c r="AF24" s="74"/>
      <c r="AG24" s="74"/>
      <c r="AH24" s="75"/>
      <c r="AI24" s="75">
        <f t="shared" si="15"/>
        <v>0</v>
      </c>
      <c r="AJ24" s="32"/>
      <c r="AK24" s="32"/>
      <c r="AL24" s="32"/>
      <c r="AM24" s="33"/>
      <c r="AN24" s="33"/>
      <c r="AO24" s="33"/>
      <c r="AP24" s="34">
        <f t="shared" si="16"/>
        <v>0</v>
      </c>
      <c r="AQ24" s="32">
        <f t="shared" si="17"/>
        <v>0</v>
      </c>
      <c r="AR24" s="32">
        <f t="shared" si="18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>IF(AND(AB24="",AC24=""),T24,IF(AC24="",AB24,AC24))</f>
        <v>3953.32</v>
      </c>
      <c r="BC24" s="45">
        <f>+X24</f>
        <v>3904.8</v>
      </c>
      <c r="BD24" s="45"/>
      <c r="BE24" s="45">
        <f t="shared" si="19"/>
        <v>48.519999999999982</v>
      </c>
      <c r="BF24" s="39">
        <f t="shared" si="20"/>
        <v>1.2273228577499413E-2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63</v>
      </c>
      <c r="F25" s="36">
        <v>46272</v>
      </c>
      <c r="G25" s="24" t="s">
        <v>59</v>
      </c>
      <c r="H25" s="24">
        <v>59</v>
      </c>
      <c r="I25" s="24">
        <v>1</v>
      </c>
      <c r="J25" s="24" t="s">
        <v>63</v>
      </c>
      <c r="K25" s="25">
        <v>162006512</v>
      </c>
      <c r="L25" s="26">
        <v>46273</v>
      </c>
      <c r="M25" s="38">
        <v>46274</v>
      </c>
      <c r="N25" s="52">
        <v>16676</v>
      </c>
      <c r="O25" s="27"/>
      <c r="P25" s="27"/>
      <c r="Q25" s="27"/>
      <c r="R25" s="46">
        <v>5271.19</v>
      </c>
      <c r="S25" s="46">
        <v>1209.7899999999995</v>
      </c>
      <c r="T25" s="46">
        <f t="shared" si="14"/>
        <v>4061.4</v>
      </c>
      <c r="U25" s="46">
        <v>4064.8</v>
      </c>
      <c r="V25" s="46"/>
      <c r="W25" s="46"/>
      <c r="X25" s="46">
        <v>3998.4</v>
      </c>
      <c r="Y25" s="46"/>
      <c r="Z25" s="46">
        <f>+T25-X25</f>
        <v>63</v>
      </c>
      <c r="AA25" s="39">
        <f>Z25/T25</f>
        <v>1.5511892450879007E-2</v>
      </c>
      <c r="AB25" s="73">
        <v>4061.4</v>
      </c>
      <c r="AC25" s="73"/>
      <c r="AD25" s="73"/>
      <c r="AE25" s="39"/>
      <c r="AF25" s="74"/>
      <c r="AG25" s="74"/>
      <c r="AH25" s="75"/>
      <c r="AI25" s="75">
        <f t="shared" si="15"/>
        <v>0</v>
      </c>
      <c r="AJ25" s="32"/>
      <c r="AK25" s="32"/>
      <c r="AL25" s="32"/>
      <c r="AM25" s="33"/>
      <c r="AN25" s="33"/>
      <c r="AO25" s="33"/>
      <c r="AP25" s="34">
        <f t="shared" si="16"/>
        <v>0</v>
      </c>
      <c r="AQ25" s="32">
        <f t="shared" si="17"/>
        <v>0</v>
      </c>
      <c r="AR25" s="32">
        <f t="shared" si="18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>IF(AND(AB25="",AC25=""),T25,IF(AC25="",AB25,AC25))</f>
        <v>4061.4</v>
      </c>
      <c r="BC25" s="45">
        <f>+X25</f>
        <v>3998.4</v>
      </c>
      <c r="BD25" s="45"/>
      <c r="BE25" s="45">
        <f t="shared" si="19"/>
        <v>63</v>
      </c>
      <c r="BF25" s="39">
        <f t="shared" si="20"/>
        <v>1.5511892450879007E-2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46272</v>
      </c>
      <c r="G26" s="24" t="s">
        <v>59</v>
      </c>
      <c r="H26" s="24">
        <v>58</v>
      </c>
      <c r="I26" s="24">
        <v>8</v>
      </c>
      <c r="J26" s="24" t="s">
        <v>67</v>
      </c>
      <c r="K26" s="25">
        <v>162011756</v>
      </c>
      <c r="L26" s="26">
        <v>46273</v>
      </c>
      <c r="M26" s="38">
        <v>46275</v>
      </c>
      <c r="N26" s="52">
        <v>16683</v>
      </c>
      <c r="O26" s="27"/>
      <c r="P26" s="27"/>
      <c r="Q26" s="27"/>
      <c r="R26" s="46">
        <v>4433.3999999999996</v>
      </c>
      <c r="S26" s="46">
        <v>1039.1999999999998</v>
      </c>
      <c r="T26" s="46">
        <f t="shared" si="7"/>
        <v>3394.2</v>
      </c>
      <c r="U26" s="46">
        <v>3510.6</v>
      </c>
      <c r="V26" s="46"/>
      <c r="W26" s="46"/>
      <c r="X26" s="46">
        <v>3398.8</v>
      </c>
      <c r="Y26" s="46"/>
      <c r="Z26" s="46">
        <f>+T26-X26</f>
        <v>-4.6000000000003638</v>
      </c>
      <c r="AA26" s="39">
        <f>Z26/T26</f>
        <v>-1.3552530787815579E-3</v>
      </c>
      <c r="AB26" s="73">
        <v>3798.36</v>
      </c>
      <c r="AC26" s="73"/>
      <c r="AD26" s="73"/>
      <c r="AE26" s="39"/>
      <c r="AF26" s="74"/>
      <c r="AG26" s="74"/>
      <c r="AH26" s="75"/>
      <c r="AI26" s="75">
        <f t="shared" si="8"/>
        <v>0</v>
      </c>
      <c r="AJ26" s="32"/>
      <c r="AK26" s="32"/>
      <c r="AL26" s="32"/>
      <c r="AM26" s="33"/>
      <c r="AN26" s="33"/>
      <c r="AO26" s="33"/>
      <c r="AP26" s="34">
        <f t="shared" si="9"/>
        <v>0</v>
      </c>
      <c r="AQ26" s="32">
        <f t="shared" si="10"/>
        <v>0</v>
      </c>
      <c r="AR26" s="32">
        <f t="shared" si="11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>IF(AND(AB26="",AC26=""),T26,IF(AC26="",AB26,AC26))</f>
        <v>3798.36</v>
      </c>
      <c r="BC26" s="45">
        <f>+X26</f>
        <v>3398.8</v>
      </c>
      <c r="BD26" s="45"/>
      <c r="BE26" s="45">
        <f t="shared" si="12"/>
        <v>399.55999999999995</v>
      </c>
      <c r="BF26" s="39">
        <f t="shared" si="13"/>
        <v>0.10519276740487998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64</v>
      </c>
      <c r="F27" s="36">
        <v>46273</v>
      </c>
      <c r="G27" s="24" t="s">
        <v>59</v>
      </c>
      <c r="H27" s="24">
        <v>58</v>
      </c>
      <c r="I27" s="24">
        <v>2</v>
      </c>
      <c r="J27" s="24" t="s">
        <v>64</v>
      </c>
      <c r="K27" s="25">
        <v>162004438</v>
      </c>
      <c r="L27" s="26">
        <v>46273</v>
      </c>
      <c r="M27" s="38">
        <v>46274</v>
      </c>
      <c r="N27" s="52">
        <v>16677</v>
      </c>
      <c r="O27" s="27"/>
      <c r="P27" s="27"/>
      <c r="Q27" s="27"/>
      <c r="R27" s="46">
        <v>5069.6899999999996</v>
      </c>
      <c r="S27" s="46">
        <v>1173.6899999999996</v>
      </c>
      <c r="T27" s="46">
        <f t="shared" si="0"/>
        <v>3896</v>
      </c>
      <c r="U27" s="46">
        <v>3911</v>
      </c>
      <c r="V27" s="46"/>
      <c r="W27" s="46"/>
      <c r="X27" s="46">
        <v>3744.8</v>
      </c>
      <c r="Y27" s="46"/>
      <c r="Z27" s="46">
        <f>+T27-X27</f>
        <v>151.19999999999982</v>
      </c>
      <c r="AA27" s="39">
        <f>Z27/T27</f>
        <v>3.8809034907597489E-2</v>
      </c>
      <c r="AB27" s="73">
        <v>3896</v>
      </c>
      <c r="AC27" s="73"/>
      <c r="AD27" s="73"/>
      <c r="AE27" s="39"/>
      <c r="AF27" s="74"/>
      <c r="AG27" s="74"/>
      <c r="AH27" s="75"/>
      <c r="AI27" s="75">
        <f t="shared" si="1"/>
        <v>0</v>
      </c>
      <c r="AJ27" s="32"/>
      <c r="AK27" s="32"/>
      <c r="AL27" s="32"/>
      <c r="AM27" s="33"/>
      <c r="AN27" s="33"/>
      <c r="AO27" s="33"/>
      <c r="AP27" s="34">
        <f t="shared" si="2"/>
        <v>0</v>
      </c>
      <c r="AQ27" s="32">
        <f t="shared" si="3"/>
        <v>0</v>
      </c>
      <c r="AR27" s="32">
        <f t="shared" si="4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>IF(AND(AB27="",AC27=""),T27,IF(AC27="",AB27,AC27))</f>
        <v>3896</v>
      </c>
      <c r="BC27" s="45">
        <f>+X27</f>
        <v>3744.8</v>
      </c>
      <c r="BD27" s="45"/>
      <c r="BE27" s="45">
        <f t="shared" si="5"/>
        <v>151.19999999999982</v>
      </c>
      <c r="BF27" s="39">
        <f t="shared" si="6"/>
        <v>3.8809034907597489E-2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65</v>
      </c>
      <c r="F28" s="36">
        <v>46273</v>
      </c>
      <c r="G28" s="24" t="s">
        <v>59</v>
      </c>
      <c r="H28" s="24">
        <v>57</v>
      </c>
      <c r="I28" s="24">
        <v>7</v>
      </c>
      <c r="J28" s="24" t="s">
        <v>67</v>
      </c>
      <c r="K28" s="25">
        <v>162011758</v>
      </c>
      <c r="L28" s="26">
        <v>46274</v>
      </c>
      <c r="M28" s="38">
        <v>46275</v>
      </c>
      <c r="N28" s="52">
        <v>16682</v>
      </c>
      <c r="O28" s="27"/>
      <c r="P28" s="27"/>
      <c r="Q28" s="27"/>
      <c r="R28" s="46">
        <v>4332.3999999999996</v>
      </c>
      <c r="S28" s="46">
        <v>1040.6999999999998</v>
      </c>
      <c r="T28" s="46">
        <f t="shared" ref="T28:T81" si="28">+R28-S28</f>
        <v>3291.7</v>
      </c>
      <c r="U28" s="46">
        <v>3493.4</v>
      </c>
      <c r="V28" s="46"/>
      <c r="W28" s="46"/>
      <c r="X28" s="46">
        <v>3276.2</v>
      </c>
      <c r="Y28" s="46"/>
      <c r="Z28" s="46">
        <f>+T28-X28</f>
        <v>15.5</v>
      </c>
      <c r="AA28" s="39">
        <f>Z28/T28</f>
        <v>4.7088130753106302E-3</v>
      </c>
      <c r="AB28" s="73">
        <v>3316.38</v>
      </c>
      <c r="AC28" s="73"/>
      <c r="AD28" s="73"/>
      <c r="AE28" s="39"/>
      <c r="AF28" s="74"/>
      <c r="AG28" s="74"/>
      <c r="AH28" s="75"/>
      <c r="AI28" s="75">
        <f t="shared" ref="AI28:AI81" si="29">+AG28+AH28</f>
        <v>0</v>
      </c>
      <c r="AJ28" s="32"/>
      <c r="AK28" s="32"/>
      <c r="AL28" s="32"/>
      <c r="AM28" s="33"/>
      <c r="AN28" s="33"/>
      <c r="AO28" s="33"/>
      <c r="AP28" s="34">
        <f t="shared" ref="AP28:AP81" si="30">ROUNDUP((AO28-AM28+(AO28&lt;AM28))*24,0)</f>
        <v>0</v>
      </c>
      <c r="AQ28" s="32">
        <f t="shared" ref="AQ28:AQ81" si="31">IF(AP28&gt;5,(AP28-5),0)</f>
        <v>0</v>
      </c>
      <c r="AR28" s="32">
        <f t="shared" ref="AR28:AR81" si="32">+AQ28*8850</f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3316.38</v>
      </c>
      <c r="BC28" s="45">
        <f>+X28</f>
        <v>3276.2</v>
      </c>
      <c r="BD28" s="45"/>
      <c r="BE28" s="45">
        <f t="shared" ref="BE28:BE81" si="33">+BB28-BC28</f>
        <v>40.180000000000291</v>
      </c>
      <c r="BF28" s="39">
        <f t="shared" ref="BF28:BF81" si="34">+BE28/BB28</f>
        <v>1.2115620043541539E-2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66</v>
      </c>
      <c r="F29" s="36">
        <v>46273</v>
      </c>
      <c r="G29" s="24" t="s">
        <v>59</v>
      </c>
      <c r="H29" s="24">
        <v>58</v>
      </c>
      <c r="I29" s="24">
        <v>8</v>
      </c>
      <c r="J29" s="24" t="s">
        <v>66</v>
      </c>
      <c r="K29" s="25">
        <v>162003248</v>
      </c>
      <c r="L29" s="26">
        <v>46274</v>
      </c>
      <c r="M29" s="38">
        <v>46275</v>
      </c>
      <c r="N29" s="52">
        <v>16679</v>
      </c>
      <c r="O29" s="27"/>
      <c r="P29" s="27"/>
      <c r="Q29" s="27"/>
      <c r="R29" s="46">
        <v>4535.3999999999996</v>
      </c>
      <c r="S29" s="46">
        <v>1054.6999999999998</v>
      </c>
      <c r="T29" s="46">
        <f t="shared" si="28"/>
        <v>3480.7</v>
      </c>
      <c r="U29" s="46">
        <v>3480.8</v>
      </c>
      <c r="V29" s="46"/>
      <c r="W29" s="46"/>
      <c r="X29" s="46">
        <v>3419.8</v>
      </c>
      <c r="Y29" s="46"/>
      <c r="Z29" s="46">
        <f>+T29-X29</f>
        <v>60.899999999999636</v>
      </c>
      <c r="AA29" s="39">
        <f>Z29/T29</f>
        <v>1.7496480592984066E-2</v>
      </c>
      <c r="AB29" s="73">
        <v>3480.7</v>
      </c>
      <c r="AC29" s="73"/>
      <c r="AD29" s="73"/>
      <c r="AE29" s="39"/>
      <c r="AF29" s="74"/>
      <c r="AG29" s="74"/>
      <c r="AH29" s="75"/>
      <c r="AI29" s="75">
        <f t="shared" si="29"/>
        <v>0</v>
      </c>
      <c r="AJ29" s="32"/>
      <c r="AK29" s="32"/>
      <c r="AL29" s="32"/>
      <c r="AM29" s="33"/>
      <c r="AN29" s="33"/>
      <c r="AO29" s="33"/>
      <c r="AP29" s="34">
        <f t="shared" si="30"/>
        <v>0</v>
      </c>
      <c r="AQ29" s="32">
        <f t="shared" si="31"/>
        <v>0</v>
      </c>
      <c r="AR29" s="32">
        <f t="shared" si="32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>IF(AND(AB29="",AC29=""),T29,IF(AC29="",AB29,AC29))</f>
        <v>3480.7</v>
      </c>
      <c r="BC29" s="45">
        <f>+X29</f>
        <v>3419.8</v>
      </c>
      <c r="BD29" s="45"/>
      <c r="BE29" s="45">
        <f t="shared" si="33"/>
        <v>60.899999999999636</v>
      </c>
      <c r="BF29" s="39">
        <f t="shared" si="34"/>
        <v>1.7496480592984066E-2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46273</v>
      </c>
      <c r="G30" s="24" t="s">
        <v>59</v>
      </c>
      <c r="H30" s="24">
        <v>58</v>
      </c>
      <c r="I30" s="24">
        <v>0</v>
      </c>
      <c r="J30" s="24" t="s">
        <v>63</v>
      </c>
      <c r="K30" s="25">
        <v>162006519</v>
      </c>
      <c r="L30" s="26">
        <v>46274</v>
      </c>
      <c r="M30" s="38">
        <v>46275</v>
      </c>
      <c r="N30" s="52">
        <v>16680</v>
      </c>
      <c r="O30" s="27"/>
      <c r="P30" s="27"/>
      <c r="Q30" s="27"/>
      <c r="R30" s="46">
        <v>5273.6</v>
      </c>
      <c r="S30" s="46">
        <v>1222.3000000000002</v>
      </c>
      <c r="T30" s="46">
        <f t="shared" ref="T30:T37" si="35">+R30-S30</f>
        <v>4051.3</v>
      </c>
      <c r="U30" s="46">
        <v>4052</v>
      </c>
      <c r="V30" s="46"/>
      <c r="W30" s="46"/>
      <c r="X30" s="46">
        <v>4031.2</v>
      </c>
      <c r="Y30" s="46"/>
      <c r="Z30" s="46">
        <f>+T30-X30</f>
        <v>20.100000000000364</v>
      </c>
      <c r="AA30" s="39">
        <f>Z30/T30</f>
        <v>4.9613704243083364E-3</v>
      </c>
      <c r="AB30" s="73">
        <v>4051.3</v>
      </c>
      <c r="AC30" s="73"/>
      <c r="AD30" s="73"/>
      <c r="AE30" s="39"/>
      <c r="AF30" s="74"/>
      <c r="AG30" s="74"/>
      <c r="AH30" s="75"/>
      <c r="AI30" s="75">
        <f t="shared" ref="AI30:AI37" si="36">+AG30+AH30</f>
        <v>0</v>
      </c>
      <c r="AJ30" s="32"/>
      <c r="AK30" s="32"/>
      <c r="AL30" s="32"/>
      <c r="AM30" s="33"/>
      <c r="AN30" s="33"/>
      <c r="AO30" s="33"/>
      <c r="AP30" s="34">
        <f t="shared" ref="AP30:AP37" si="37">ROUNDUP((AO30-AM30+(AO30&lt;AM30))*24,0)</f>
        <v>0</v>
      </c>
      <c r="AQ30" s="32">
        <f t="shared" ref="AQ30:AQ37" si="38">IF(AP30&gt;5,(AP30-5),0)</f>
        <v>0</v>
      </c>
      <c r="AR30" s="32">
        <f t="shared" ref="AR30:AR37" si="39">+AQ30*8850</f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>IF(AND(AB30="",AC30=""),T30,IF(AC30="",AB30,AC30))</f>
        <v>4051.3</v>
      </c>
      <c r="BC30" s="45">
        <f>+X30</f>
        <v>4031.2</v>
      </c>
      <c r="BD30" s="45"/>
      <c r="BE30" s="45">
        <f t="shared" ref="BE30:BE37" si="40">+BB30-BC30</f>
        <v>20.100000000000364</v>
      </c>
      <c r="BF30" s="39">
        <f t="shared" ref="BF30:BF37" si="41">+BE30/BB30</f>
        <v>4.9613704243083364E-3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46274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162004440</v>
      </c>
      <c r="L31" s="26">
        <v>46274</v>
      </c>
      <c r="M31" s="38">
        <v>46276</v>
      </c>
      <c r="N31" s="52">
        <v>16685</v>
      </c>
      <c r="O31" s="27"/>
      <c r="P31" s="27"/>
      <c r="Q31" s="27"/>
      <c r="R31" s="46">
        <v>5158.1000000000004</v>
      </c>
      <c r="S31" s="46">
        <v>1183.4000000000005</v>
      </c>
      <c r="T31" s="46">
        <f t="shared" si="35"/>
        <v>3974.7</v>
      </c>
      <c r="U31" s="46">
        <v>3983</v>
      </c>
      <c r="V31" s="46"/>
      <c r="W31" s="46"/>
      <c r="X31" s="46">
        <v>3864.2</v>
      </c>
      <c r="Y31" s="46"/>
      <c r="Z31" s="46">
        <f>+T31-X31</f>
        <v>110.5</v>
      </c>
      <c r="AA31" s="39">
        <f>Z31/T31</f>
        <v>2.7800840314992328E-2</v>
      </c>
      <c r="AB31" s="73">
        <v>3974.7</v>
      </c>
      <c r="AC31" s="73"/>
      <c r="AD31" s="73"/>
      <c r="AE31" s="39"/>
      <c r="AF31" s="74"/>
      <c r="AG31" s="74"/>
      <c r="AH31" s="75"/>
      <c r="AI31" s="75">
        <f t="shared" si="36"/>
        <v>0</v>
      </c>
      <c r="AJ31" s="32"/>
      <c r="AK31" s="32"/>
      <c r="AL31" s="32"/>
      <c r="AM31" s="33"/>
      <c r="AN31" s="33"/>
      <c r="AO31" s="33"/>
      <c r="AP31" s="34">
        <f t="shared" si="37"/>
        <v>0</v>
      </c>
      <c r="AQ31" s="32">
        <f t="shared" si="38"/>
        <v>0</v>
      </c>
      <c r="AR31" s="32">
        <f t="shared" si="39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>IF(AND(AB31="",AC31=""),T31,IF(AC31="",AB31,AC31))</f>
        <v>3974.7</v>
      </c>
      <c r="BC31" s="45">
        <f>+X31</f>
        <v>3864.2</v>
      </c>
      <c r="BD31" s="45"/>
      <c r="BE31" s="45">
        <f t="shared" si="40"/>
        <v>110.5</v>
      </c>
      <c r="BF31" s="39">
        <f t="shared" si="41"/>
        <v>2.7800840314992328E-2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46274</v>
      </c>
      <c r="G32" s="24" t="s">
        <v>59</v>
      </c>
      <c r="H32" s="24">
        <v>58</v>
      </c>
      <c r="I32" s="24">
        <v>3</v>
      </c>
      <c r="J32" s="24" t="s">
        <v>67</v>
      </c>
      <c r="K32" s="25">
        <v>162011760</v>
      </c>
      <c r="L32" s="26">
        <v>46275</v>
      </c>
      <c r="M32" s="38">
        <v>46276</v>
      </c>
      <c r="N32" s="52">
        <v>16690</v>
      </c>
      <c r="O32" s="27"/>
      <c r="P32" s="27"/>
      <c r="Q32" s="27"/>
      <c r="R32" s="46">
        <v>4853.2</v>
      </c>
      <c r="S32" s="46">
        <v>1140.5999999999999</v>
      </c>
      <c r="T32" s="46">
        <f t="shared" si="35"/>
        <v>3712.6</v>
      </c>
      <c r="U32" s="46">
        <v>3856.2</v>
      </c>
      <c r="V32" s="46"/>
      <c r="W32" s="46"/>
      <c r="X32" s="46">
        <v>3766.4</v>
      </c>
      <c r="Y32" s="46"/>
      <c r="Z32" s="46">
        <f>+T32-X32</f>
        <v>-53.800000000000182</v>
      </c>
      <c r="AA32" s="39">
        <f>Z32/T32</f>
        <v>-1.4491192156440279E-2</v>
      </c>
      <c r="AB32" s="73">
        <v>3725.21</v>
      </c>
      <c r="AC32" s="73"/>
      <c r="AD32" s="73"/>
      <c r="AE32" s="39"/>
      <c r="AF32" s="74"/>
      <c r="AG32" s="74"/>
      <c r="AH32" s="75"/>
      <c r="AI32" s="75">
        <f t="shared" si="36"/>
        <v>0</v>
      </c>
      <c r="AJ32" s="32"/>
      <c r="AK32" s="32"/>
      <c r="AL32" s="32"/>
      <c r="AM32" s="33"/>
      <c r="AN32" s="33"/>
      <c r="AO32" s="33"/>
      <c r="AP32" s="34">
        <f t="shared" si="37"/>
        <v>0</v>
      </c>
      <c r="AQ32" s="32">
        <f t="shared" si="38"/>
        <v>0</v>
      </c>
      <c r="AR32" s="32">
        <f t="shared" si="39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>IF(AND(AB32="",AC32=""),T32,IF(AC32="",AB32,AC32))</f>
        <v>3725.21</v>
      </c>
      <c r="BC32" s="45">
        <f>+X32</f>
        <v>3766.4</v>
      </c>
      <c r="BD32" s="45"/>
      <c r="BE32" s="45">
        <f t="shared" si="40"/>
        <v>-41.190000000000055</v>
      </c>
      <c r="BF32" s="39">
        <f t="shared" si="41"/>
        <v>-1.1057094767811762E-2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68</v>
      </c>
      <c r="F33" s="36">
        <v>46274</v>
      </c>
      <c r="G33" s="24" t="s">
        <v>59</v>
      </c>
      <c r="H33" s="24">
        <v>58</v>
      </c>
      <c r="I33" s="24">
        <v>4</v>
      </c>
      <c r="J33" s="24" t="s">
        <v>68</v>
      </c>
      <c r="K33" s="25">
        <v>162001479</v>
      </c>
      <c r="L33" s="26">
        <v>46274</v>
      </c>
      <c r="M33" s="38">
        <v>46276</v>
      </c>
      <c r="N33" s="52">
        <v>16687</v>
      </c>
      <c r="O33" s="27"/>
      <c r="P33" s="27"/>
      <c r="Q33" s="27"/>
      <c r="R33" s="46">
        <v>4881.3100000000004</v>
      </c>
      <c r="S33" s="46">
        <v>1130.6100000000006</v>
      </c>
      <c r="T33" s="46">
        <f t="shared" si="35"/>
        <v>3750.7</v>
      </c>
      <c r="U33" s="46">
        <v>3766</v>
      </c>
      <c r="V33" s="46"/>
      <c r="W33" s="46"/>
      <c r="X33" s="46">
        <v>3861.8</v>
      </c>
      <c r="Y33" s="46"/>
      <c r="Z33" s="46">
        <f>+T33-X33</f>
        <v>-111.10000000000036</v>
      </c>
      <c r="AA33" s="39">
        <f>Z33/T33</f>
        <v>-2.9621137387687731E-2</v>
      </c>
      <c r="AB33" s="73">
        <v>3750.65</v>
      </c>
      <c r="AC33" s="73"/>
      <c r="AD33" s="73"/>
      <c r="AE33" s="39"/>
      <c r="AF33" s="74"/>
      <c r="AG33" s="74"/>
      <c r="AH33" s="75"/>
      <c r="AI33" s="75">
        <f t="shared" si="36"/>
        <v>0</v>
      </c>
      <c r="AJ33" s="32"/>
      <c r="AK33" s="32"/>
      <c r="AL33" s="32"/>
      <c r="AM33" s="33"/>
      <c r="AN33" s="33"/>
      <c r="AO33" s="33"/>
      <c r="AP33" s="34">
        <f t="shared" si="37"/>
        <v>0</v>
      </c>
      <c r="AQ33" s="32">
        <f t="shared" si="38"/>
        <v>0</v>
      </c>
      <c r="AR33" s="32">
        <f t="shared" si="39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>IF(AND(AB33="",AC33=""),T33,IF(AC33="",AB33,AC33))</f>
        <v>3750.65</v>
      </c>
      <c r="BC33" s="45">
        <f>+X33</f>
        <v>3861.8</v>
      </c>
      <c r="BD33" s="45"/>
      <c r="BE33" s="45">
        <f t="shared" si="40"/>
        <v>-111.15000000000009</v>
      </c>
      <c r="BF33" s="39">
        <f t="shared" si="41"/>
        <v>-2.9634863290363026E-2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65</v>
      </c>
      <c r="F34" s="36">
        <v>46275</v>
      </c>
      <c r="G34" s="24" t="s">
        <v>59</v>
      </c>
      <c r="H34" s="24">
        <v>58</v>
      </c>
      <c r="I34" s="24">
        <v>1</v>
      </c>
      <c r="J34" s="24" t="s">
        <v>67</v>
      </c>
      <c r="K34" s="25">
        <v>162011761</v>
      </c>
      <c r="L34" s="26">
        <v>46275</v>
      </c>
      <c r="M34" s="38">
        <v>46277</v>
      </c>
      <c r="N34" s="52">
        <v>16693</v>
      </c>
      <c r="O34" s="27"/>
      <c r="P34" s="27"/>
      <c r="Q34" s="27"/>
      <c r="R34" s="46">
        <v>5183</v>
      </c>
      <c r="S34" s="46">
        <v>1188.3000000000002</v>
      </c>
      <c r="T34" s="46">
        <f t="shared" si="35"/>
        <v>3994.7</v>
      </c>
      <c r="U34" s="46">
        <v>4010.8</v>
      </c>
      <c r="V34" s="46"/>
      <c r="W34" s="46"/>
      <c r="X34" s="46">
        <v>4030.2</v>
      </c>
      <c r="Y34" s="46"/>
      <c r="Z34" s="46">
        <f>+T34-X34</f>
        <v>-35.5</v>
      </c>
      <c r="AA34" s="39">
        <f>Z34/T34</f>
        <v>-8.886774976844319E-3</v>
      </c>
      <c r="AB34" s="73">
        <v>4003.39</v>
      </c>
      <c r="AC34" s="73"/>
      <c r="AD34" s="73"/>
      <c r="AE34" s="39"/>
      <c r="AF34" s="74"/>
      <c r="AG34" s="74"/>
      <c r="AH34" s="75"/>
      <c r="AI34" s="75">
        <f t="shared" si="36"/>
        <v>0</v>
      </c>
      <c r="AJ34" s="32"/>
      <c r="AK34" s="32"/>
      <c r="AL34" s="32"/>
      <c r="AM34" s="33"/>
      <c r="AN34" s="33"/>
      <c r="AO34" s="33"/>
      <c r="AP34" s="34">
        <f t="shared" si="37"/>
        <v>0</v>
      </c>
      <c r="AQ34" s="32">
        <f t="shared" si="38"/>
        <v>0</v>
      </c>
      <c r="AR34" s="32">
        <f t="shared" si="39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>IF(AND(AB34="",AC34=""),T34,IF(AC34="",AB34,AC34))</f>
        <v>4003.39</v>
      </c>
      <c r="BC34" s="45">
        <f>+X34</f>
        <v>4030.2</v>
      </c>
      <c r="BD34" s="45"/>
      <c r="BE34" s="45">
        <f t="shared" si="40"/>
        <v>-26.809999999999945</v>
      </c>
      <c r="BF34" s="39">
        <f t="shared" si="41"/>
        <v>-6.696824441285997E-3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66</v>
      </c>
      <c r="F35" s="36">
        <v>46275</v>
      </c>
      <c r="G35" s="24" t="s">
        <v>59</v>
      </c>
      <c r="H35" s="24">
        <v>58</v>
      </c>
      <c r="I35" s="24">
        <v>0</v>
      </c>
      <c r="J35" s="24" t="s">
        <v>66</v>
      </c>
      <c r="K35" s="25">
        <v>142000549</v>
      </c>
      <c r="L35" s="26">
        <v>46275</v>
      </c>
      <c r="M35" s="38">
        <v>46277</v>
      </c>
      <c r="N35" s="52">
        <v>16691</v>
      </c>
      <c r="O35" s="27"/>
      <c r="P35" s="27"/>
      <c r="Q35" s="27"/>
      <c r="R35" s="46">
        <v>5260.14</v>
      </c>
      <c r="S35" s="46">
        <v>1205.5400000000004</v>
      </c>
      <c r="T35" s="46">
        <f t="shared" si="35"/>
        <v>4054.6</v>
      </c>
      <c r="U35" s="46">
        <v>4053.2</v>
      </c>
      <c r="V35" s="46"/>
      <c r="W35" s="46"/>
      <c r="X35" s="46">
        <v>4054.4</v>
      </c>
      <c r="Y35" s="46"/>
      <c r="Z35" s="46">
        <f>+T35-X35</f>
        <v>0.1999999999998181</v>
      </c>
      <c r="AA35" s="39">
        <f>Z35/T35</f>
        <v>4.932669067227793E-5</v>
      </c>
      <c r="AB35" s="73">
        <v>4054.62</v>
      </c>
      <c r="AC35" s="73"/>
      <c r="AD35" s="73"/>
      <c r="AE35" s="39"/>
      <c r="AF35" s="74"/>
      <c r="AG35" s="74"/>
      <c r="AH35" s="75"/>
      <c r="AI35" s="75">
        <f t="shared" si="36"/>
        <v>0</v>
      </c>
      <c r="AJ35" s="32"/>
      <c r="AK35" s="32"/>
      <c r="AL35" s="32"/>
      <c r="AM35" s="33"/>
      <c r="AN35" s="33"/>
      <c r="AO35" s="33"/>
      <c r="AP35" s="34">
        <f t="shared" si="37"/>
        <v>0</v>
      </c>
      <c r="AQ35" s="32">
        <f t="shared" si="38"/>
        <v>0</v>
      </c>
      <c r="AR35" s="32">
        <f t="shared" si="39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>IF(AND(AB35="",AC35=""),T35,IF(AC35="",AB35,AC35))</f>
        <v>4054.62</v>
      </c>
      <c r="BC35" s="45">
        <f>+X35</f>
        <v>4054.4</v>
      </c>
      <c r="BD35" s="45"/>
      <c r="BE35" s="45">
        <f t="shared" si="40"/>
        <v>0.21999999999979991</v>
      </c>
      <c r="BF35" s="39">
        <f t="shared" si="41"/>
        <v>5.4259092097360523E-5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64</v>
      </c>
      <c r="F36" s="36">
        <v>46275</v>
      </c>
      <c r="G36" s="24" t="s">
        <v>59</v>
      </c>
      <c r="H36" s="24">
        <v>58</v>
      </c>
      <c r="I36" s="24">
        <v>0</v>
      </c>
      <c r="J36" s="24" t="s">
        <v>64</v>
      </c>
      <c r="K36" s="25">
        <v>162004442</v>
      </c>
      <c r="L36" s="26">
        <v>46276</v>
      </c>
      <c r="M36" s="38">
        <v>46277</v>
      </c>
      <c r="N36" s="52">
        <v>16694</v>
      </c>
      <c r="O36" s="27"/>
      <c r="P36" s="27"/>
      <c r="Q36" s="27"/>
      <c r="R36" s="46">
        <v>5243.1</v>
      </c>
      <c r="S36" s="46">
        <v>1210.0000000000005</v>
      </c>
      <c r="T36" s="46">
        <f t="shared" si="35"/>
        <v>4033.1</v>
      </c>
      <c r="U36" s="46">
        <v>4049</v>
      </c>
      <c r="V36" s="46"/>
      <c r="W36" s="46"/>
      <c r="X36" s="46">
        <v>3911.2</v>
      </c>
      <c r="Y36" s="46"/>
      <c r="Z36" s="46">
        <f>+T36-X36</f>
        <v>121.90000000000009</v>
      </c>
      <c r="AA36" s="39">
        <f>Z36/T36</f>
        <v>3.0224889043167811E-2</v>
      </c>
      <c r="AB36" s="73">
        <v>4033.05</v>
      </c>
      <c r="AC36" s="73"/>
      <c r="AD36" s="73"/>
      <c r="AE36" s="39"/>
      <c r="AF36" s="74"/>
      <c r="AG36" s="74"/>
      <c r="AH36" s="75"/>
      <c r="AI36" s="75">
        <f t="shared" si="36"/>
        <v>0</v>
      </c>
      <c r="AJ36" s="32"/>
      <c r="AK36" s="32"/>
      <c r="AL36" s="32"/>
      <c r="AM36" s="33"/>
      <c r="AN36" s="33"/>
      <c r="AO36" s="33"/>
      <c r="AP36" s="34">
        <f t="shared" si="37"/>
        <v>0</v>
      </c>
      <c r="AQ36" s="32">
        <f t="shared" si="38"/>
        <v>0</v>
      </c>
      <c r="AR36" s="32">
        <f t="shared" si="39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>IF(AND(AB36="",AC36=""),T36,IF(AC36="",AB36,AC36))</f>
        <v>4033.05</v>
      </c>
      <c r="BC36" s="45">
        <f>+X36</f>
        <v>3911.2</v>
      </c>
      <c r="BD36" s="45"/>
      <c r="BE36" s="45">
        <f t="shared" si="40"/>
        <v>121.85000000000036</v>
      </c>
      <c r="BF36" s="39">
        <f t="shared" si="41"/>
        <v>3.0212866193079769E-2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66</v>
      </c>
      <c r="F37" s="36">
        <v>46276</v>
      </c>
      <c r="G37" s="24" t="s">
        <v>59</v>
      </c>
      <c r="H37" s="24">
        <v>59</v>
      </c>
      <c r="I37" s="24">
        <v>2</v>
      </c>
      <c r="J37" s="24" t="s">
        <v>66</v>
      </c>
      <c r="K37" s="25">
        <v>162003252</v>
      </c>
      <c r="L37" s="26">
        <v>46276</v>
      </c>
      <c r="M37" s="38">
        <v>46277</v>
      </c>
      <c r="N37" s="52">
        <v>16695</v>
      </c>
      <c r="O37" s="27"/>
      <c r="P37" s="27"/>
      <c r="Q37" s="27"/>
      <c r="R37" s="46">
        <v>5170.82</v>
      </c>
      <c r="S37" s="46">
        <v>1194.3199999999997</v>
      </c>
      <c r="T37" s="46">
        <f t="shared" si="35"/>
        <v>3976.5</v>
      </c>
      <c r="U37" s="46">
        <v>3975.6</v>
      </c>
      <c r="V37" s="46"/>
      <c r="W37" s="46"/>
      <c r="X37" s="46">
        <v>3901</v>
      </c>
      <c r="Y37" s="46"/>
      <c r="Z37" s="46">
        <f>+T37-X37</f>
        <v>75.5</v>
      </c>
      <c r="AA37" s="39">
        <f>Z37/T37</f>
        <v>1.8986545957500316E-2</v>
      </c>
      <c r="AB37" s="73">
        <v>3976.5</v>
      </c>
      <c r="AC37" s="73"/>
      <c r="AD37" s="73"/>
      <c r="AE37" s="39"/>
      <c r="AF37" s="74"/>
      <c r="AG37" s="74"/>
      <c r="AH37" s="75"/>
      <c r="AI37" s="75">
        <f t="shared" si="36"/>
        <v>0</v>
      </c>
      <c r="AJ37" s="32"/>
      <c r="AK37" s="32"/>
      <c r="AL37" s="32"/>
      <c r="AM37" s="33"/>
      <c r="AN37" s="33"/>
      <c r="AO37" s="33"/>
      <c r="AP37" s="34">
        <f t="shared" si="37"/>
        <v>0</v>
      </c>
      <c r="AQ37" s="32">
        <f t="shared" si="38"/>
        <v>0</v>
      </c>
      <c r="AR37" s="32">
        <f t="shared" si="39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>IF(AND(AB37="",AC37=""),T37,IF(AC37="",AB37,AC37))</f>
        <v>3976.5</v>
      </c>
      <c r="BC37" s="45">
        <f>+X37</f>
        <v>3901</v>
      </c>
      <c r="BD37" s="45"/>
      <c r="BE37" s="45">
        <f t="shared" si="40"/>
        <v>75.5</v>
      </c>
      <c r="BF37" s="39">
        <f t="shared" si="41"/>
        <v>1.8986545957500316E-2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68</v>
      </c>
      <c r="F38" s="36">
        <v>46276</v>
      </c>
      <c r="G38" s="24" t="s">
        <v>59</v>
      </c>
      <c r="H38" s="24">
        <v>58</v>
      </c>
      <c r="I38" s="24">
        <v>2</v>
      </c>
      <c r="J38" s="24" t="s">
        <v>68</v>
      </c>
      <c r="K38" s="25">
        <v>162001482</v>
      </c>
      <c r="L38" s="26">
        <v>46276</v>
      </c>
      <c r="M38" s="38">
        <v>46278</v>
      </c>
      <c r="N38" s="52">
        <v>16696</v>
      </c>
      <c r="O38" s="27"/>
      <c r="P38" s="27"/>
      <c r="Q38" s="27"/>
      <c r="R38" s="46">
        <v>5060.04</v>
      </c>
      <c r="S38" s="46">
        <v>1167.94</v>
      </c>
      <c r="T38" s="46">
        <f t="shared" si="28"/>
        <v>3892.1</v>
      </c>
      <c r="U38" s="46">
        <v>3908</v>
      </c>
      <c r="V38" s="46"/>
      <c r="W38" s="46"/>
      <c r="X38" s="46">
        <v>3930.2</v>
      </c>
      <c r="Y38" s="46"/>
      <c r="Z38" s="46">
        <f>+T38-X38</f>
        <v>-38.099999999999909</v>
      </c>
      <c r="AA38" s="39">
        <f>Z38/T38</f>
        <v>-9.7890598905474961E-3</v>
      </c>
      <c r="AB38" s="73">
        <v>3892</v>
      </c>
      <c r="AC38" s="73"/>
      <c r="AD38" s="73"/>
      <c r="AE38" s="39"/>
      <c r="AF38" s="74"/>
      <c r="AG38" s="74"/>
      <c r="AH38" s="75"/>
      <c r="AI38" s="75">
        <f t="shared" si="29"/>
        <v>0</v>
      </c>
      <c r="AJ38" s="32"/>
      <c r="AK38" s="32"/>
      <c r="AL38" s="32"/>
      <c r="AM38" s="33"/>
      <c r="AN38" s="33"/>
      <c r="AO38" s="33"/>
      <c r="AP38" s="34">
        <f t="shared" si="30"/>
        <v>0</v>
      </c>
      <c r="AQ38" s="32">
        <f t="shared" si="31"/>
        <v>0</v>
      </c>
      <c r="AR38" s="32">
        <f t="shared" si="32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>IF(AND(AB38="",AC38=""),T38,IF(AC38="",AB38,AC38))</f>
        <v>3892</v>
      </c>
      <c r="BC38" s="45">
        <f>+X38</f>
        <v>3930.2</v>
      </c>
      <c r="BD38" s="45"/>
      <c r="BE38" s="45">
        <f t="shared" si="33"/>
        <v>-38.199999999999818</v>
      </c>
      <c r="BF38" s="39">
        <f t="shared" si="34"/>
        <v>-9.8150051387460996E-3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46276</v>
      </c>
      <c r="G39" s="24" t="s">
        <v>59</v>
      </c>
      <c r="H39" s="24">
        <v>57</v>
      </c>
      <c r="I39" s="24">
        <v>0</v>
      </c>
      <c r="J39" s="24" t="s">
        <v>64</v>
      </c>
      <c r="K39" s="25">
        <v>162004443</v>
      </c>
      <c r="L39" s="26">
        <v>46276</v>
      </c>
      <c r="M39" s="38">
        <v>46278</v>
      </c>
      <c r="N39" s="52">
        <v>16697</v>
      </c>
      <c r="O39" s="27"/>
      <c r="P39" s="27"/>
      <c r="Q39" s="27"/>
      <c r="R39" s="46">
        <v>5149.49</v>
      </c>
      <c r="S39" s="46">
        <v>1191.9899999999998</v>
      </c>
      <c r="T39" s="46">
        <f t="shared" si="28"/>
        <v>3957.5</v>
      </c>
      <c r="U39" s="46">
        <v>3974.8</v>
      </c>
      <c r="V39" s="46"/>
      <c r="W39" s="46"/>
      <c r="X39" s="46">
        <v>3812.6</v>
      </c>
      <c r="Y39" s="46"/>
      <c r="Z39" s="46">
        <f>+T39-X39</f>
        <v>144.90000000000009</v>
      </c>
      <c r="AA39" s="39">
        <f>Z39/T39</f>
        <v>3.6614024005053716E-2</v>
      </c>
      <c r="AB39" s="73">
        <v>3947.45</v>
      </c>
      <c r="AC39" s="73"/>
      <c r="AD39" s="73"/>
      <c r="AE39" s="39"/>
      <c r="AF39" s="74"/>
      <c r="AG39" s="74"/>
      <c r="AH39" s="75"/>
      <c r="AI39" s="75">
        <f t="shared" si="29"/>
        <v>0</v>
      </c>
      <c r="AJ39" s="32"/>
      <c r="AK39" s="32"/>
      <c r="AL39" s="32"/>
      <c r="AM39" s="33"/>
      <c r="AN39" s="33"/>
      <c r="AO39" s="33"/>
      <c r="AP39" s="34">
        <f t="shared" si="30"/>
        <v>0</v>
      </c>
      <c r="AQ39" s="32">
        <f t="shared" si="31"/>
        <v>0</v>
      </c>
      <c r="AR39" s="32">
        <f t="shared" si="32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>IF(AND(AB39="",AC39=""),T39,IF(AC39="",AB39,AC39))</f>
        <v>3947.45</v>
      </c>
      <c r="BC39" s="45">
        <f>+X39</f>
        <v>3812.6</v>
      </c>
      <c r="BD39" s="45"/>
      <c r="BE39" s="45">
        <f t="shared" si="33"/>
        <v>134.84999999999991</v>
      </c>
      <c r="BF39" s="39">
        <f t="shared" si="34"/>
        <v>3.4161293999923979E-2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46276</v>
      </c>
      <c r="G40" s="24" t="s">
        <v>59</v>
      </c>
      <c r="H40" s="24">
        <v>58</v>
      </c>
      <c r="I40" s="24">
        <v>0</v>
      </c>
      <c r="J40" s="24" t="s">
        <v>67</v>
      </c>
      <c r="K40" s="25">
        <v>162011764</v>
      </c>
      <c r="L40" s="26">
        <v>46277</v>
      </c>
      <c r="M40" s="38">
        <v>46278</v>
      </c>
      <c r="N40" s="52">
        <v>16698</v>
      </c>
      <c r="O40" s="27"/>
      <c r="P40" s="27"/>
      <c r="Q40" s="27"/>
      <c r="R40" s="46">
        <v>5116</v>
      </c>
      <c r="S40" s="46">
        <v>1210.9000000000001</v>
      </c>
      <c r="T40" s="46">
        <f t="shared" si="28"/>
        <v>3905.1</v>
      </c>
      <c r="U40" s="46">
        <v>4059.8</v>
      </c>
      <c r="V40" s="46"/>
      <c r="W40" s="46"/>
      <c r="X40" s="46">
        <v>3929.6</v>
      </c>
      <c r="Y40" s="46"/>
      <c r="Z40" s="46">
        <f>+T40-X40</f>
        <v>-24.5</v>
      </c>
      <c r="AA40" s="39">
        <f>Z40/T40</f>
        <v>-6.2738470205628534E-3</v>
      </c>
      <c r="AB40" s="73">
        <v>3920.14</v>
      </c>
      <c r="AC40" s="73"/>
      <c r="AD40" s="73"/>
      <c r="AE40" s="39"/>
      <c r="AF40" s="74"/>
      <c r="AG40" s="74"/>
      <c r="AH40" s="75"/>
      <c r="AI40" s="75">
        <f t="shared" si="29"/>
        <v>0</v>
      </c>
      <c r="AJ40" s="32"/>
      <c r="AK40" s="32"/>
      <c r="AL40" s="32"/>
      <c r="AM40" s="33"/>
      <c r="AN40" s="33"/>
      <c r="AO40" s="33"/>
      <c r="AP40" s="34">
        <f t="shared" si="30"/>
        <v>0</v>
      </c>
      <c r="AQ40" s="32">
        <f t="shared" si="31"/>
        <v>0</v>
      </c>
      <c r="AR40" s="32">
        <f t="shared" si="32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>IF(AND(AB40="",AC40=""),T40,IF(AC40="",AB40,AC40))</f>
        <v>3920.14</v>
      </c>
      <c r="BC40" s="45">
        <f>+X40</f>
        <v>3929.6</v>
      </c>
      <c r="BD40" s="45"/>
      <c r="BE40" s="45">
        <f t="shared" si="33"/>
        <v>-9.4600000000000364</v>
      </c>
      <c r="BF40" s="39">
        <f t="shared" si="34"/>
        <v>-2.4131791211538457E-3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66</v>
      </c>
      <c r="F41" s="36">
        <v>46277</v>
      </c>
      <c r="G41" s="24" t="s">
        <v>59</v>
      </c>
      <c r="H41" s="24">
        <v>58</v>
      </c>
      <c r="I41" s="24">
        <v>2</v>
      </c>
      <c r="J41" s="24" t="s">
        <v>66</v>
      </c>
      <c r="K41" s="25">
        <v>162003253</v>
      </c>
      <c r="L41" s="26">
        <v>46277</v>
      </c>
      <c r="M41" s="38">
        <v>46279</v>
      </c>
      <c r="N41" s="52">
        <v>16702</v>
      </c>
      <c r="O41" s="27"/>
      <c r="P41" s="27"/>
      <c r="Q41" s="27"/>
      <c r="R41" s="46">
        <v>5076.5600000000004</v>
      </c>
      <c r="S41" s="46">
        <v>1168.7600000000002</v>
      </c>
      <c r="T41" s="46">
        <f t="shared" si="28"/>
        <v>3907.8</v>
      </c>
      <c r="U41" s="46">
        <v>3907.8</v>
      </c>
      <c r="V41" s="46"/>
      <c r="W41" s="46"/>
      <c r="X41" s="46">
        <v>3791.8</v>
      </c>
      <c r="Y41" s="46"/>
      <c r="Z41" s="46">
        <f>+T41-X41</f>
        <v>116</v>
      </c>
      <c r="AA41" s="39">
        <f>Z41/T41</f>
        <v>2.9684221300987766E-2</v>
      </c>
      <c r="AB41" s="73">
        <v>3907.78</v>
      </c>
      <c r="AC41" s="73"/>
      <c r="AD41" s="73"/>
      <c r="AE41" s="39"/>
      <c r="AF41" s="74"/>
      <c r="AG41" s="74"/>
      <c r="AH41" s="75"/>
      <c r="AI41" s="75">
        <f t="shared" si="29"/>
        <v>0</v>
      </c>
      <c r="AJ41" s="32"/>
      <c r="AK41" s="32"/>
      <c r="AL41" s="32"/>
      <c r="AM41" s="33"/>
      <c r="AN41" s="33"/>
      <c r="AO41" s="33"/>
      <c r="AP41" s="34">
        <f t="shared" si="30"/>
        <v>0</v>
      </c>
      <c r="AQ41" s="32">
        <f t="shared" si="31"/>
        <v>0</v>
      </c>
      <c r="AR41" s="32">
        <f t="shared" si="32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>IF(AND(AB41="",AC41=""),T41,IF(AC41="",AB41,AC41))</f>
        <v>3907.78</v>
      </c>
      <c r="BC41" s="45">
        <f>+X41</f>
        <v>3791.8</v>
      </c>
      <c r="BD41" s="45"/>
      <c r="BE41" s="45">
        <f t="shared" si="33"/>
        <v>115.98000000000002</v>
      </c>
      <c r="BF41" s="39">
        <f t="shared" si="34"/>
        <v>2.9679255229311786E-2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46278</v>
      </c>
      <c r="G42" s="24" t="s">
        <v>59</v>
      </c>
      <c r="H42" s="24">
        <v>59</v>
      </c>
      <c r="I42" s="24">
        <v>0</v>
      </c>
      <c r="J42" s="24" t="s">
        <v>64</v>
      </c>
      <c r="K42" s="25">
        <v>162004447</v>
      </c>
      <c r="L42" s="26">
        <v>46278</v>
      </c>
      <c r="M42" s="38">
        <v>46280</v>
      </c>
      <c r="N42" s="52">
        <v>16705</v>
      </c>
      <c r="O42" s="27"/>
      <c r="P42" s="27"/>
      <c r="Q42" s="27"/>
      <c r="R42" s="46">
        <v>5326.55</v>
      </c>
      <c r="S42" s="46">
        <v>1242.5500000000002</v>
      </c>
      <c r="T42" s="46">
        <f t="shared" ref="T42:T56" si="42">+R42-S42</f>
        <v>4084</v>
      </c>
      <c r="U42" s="46">
        <v>4109.3999999999996</v>
      </c>
      <c r="V42" s="46"/>
      <c r="W42" s="46"/>
      <c r="X42" s="46">
        <v>4015.6</v>
      </c>
      <c r="Y42" s="46"/>
      <c r="Z42" s="46">
        <f>+T42-X42</f>
        <v>68.400000000000091</v>
      </c>
      <c r="AA42" s="39">
        <f>Z42/T42</f>
        <v>1.6748285994123431E-2</v>
      </c>
      <c r="AB42" s="73">
        <v>4084</v>
      </c>
      <c r="AC42" s="73"/>
      <c r="AD42" s="73"/>
      <c r="AE42" s="39"/>
      <c r="AF42" s="74"/>
      <c r="AG42" s="74"/>
      <c r="AH42" s="75"/>
      <c r="AI42" s="75">
        <f t="shared" ref="AI42:AI56" si="43">+AG42+AH42</f>
        <v>0</v>
      </c>
      <c r="AJ42" s="32"/>
      <c r="AK42" s="32"/>
      <c r="AL42" s="32"/>
      <c r="AM42" s="33"/>
      <c r="AN42" s="33"/>
      <c r="AO42" s="33"/>
      <c r="AP42" s="34">
        <f t="shared" ref="AP42:AP56" si="44">ROUNDUP((AO42-AM42+(AO42&lt;AM42))*24,0)</f>
        <v>0</v>
      </c>
      <c r="AQ42" s="32">
        <f t="shared" ref="AQ42:AQ56" si="45">IF(AP42&gt;5,(AP42-5),0)</f>
        <v>0</v>
      </c>
      <c r="AR42" s="32">
        <f t="shared" ref="AR42:AR56" si="46">+AQ42*8850</f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>IF(AND(AB42="",AC42=""),T42,IF(AC42="",AB42,AC42))</f>
        <v>4084</v>
      </c>
      <c r="BC42" s="45">
        <f>+X42</f>
        <v>4015.6</v>
      </c>
      <c r="BD42" s="45"/>
      <c r="BE42" s="45">
        <f t="shared" ref="BE42:BE56" si="47">+BB42-BC42</f>
        <v>68.400000000000091</v>
      </c>
      <c r="BF42" s="39">
        <f t="shared" ref="BF42:BF56" si="48">+BE42/BB42</f>
        <v>1.6748285994123431E-2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66</v>
      </c>
      <c r="F43" s="36">
        <v>46278</v>
      </c>
      <c r="G43" s="24" t="s">
        <v>59</v>
      </c>
      <c r="H43" s="24">
        <v>59</v>
      </c>
      <c r="I43" s="24">
        <v>1</v>
      </c>
      <c r="J43" s="24" t="s">
        <v>66</v>
      </c>
      <c r="K43" s="25">
        <v>162003256</v>
      </c>
      <c r="L43" s="26">
        <v>46278</v>
      </c>
      <c r="M43" s="38">
        <v>46280</v>
      </c>
      <c r="N43" s="52">
        <v>16703</v>
      </c>
      <c r="O43" s="27"/>
      <c r="P43" s="27"/>
      <c r="Q43" s="27"/>
      <c r="R43" s="46">
        <v>5263.58</v>
      </c>
      <c r="S43" s="46">
        <v>1213.2799999999997</v>
      </c>
      <c r="T43" s="46">
        <f t="shared" si="42"/>
        <v>4050.3</v>
      </c>
      <c r="U43" s="46">
        <v>4049.4</v>
      </c>
      <c r="V43" s="46"/>
      <c r="W43" s="46"/>
      <c r="X43" s="46">
        <v>3945.8</v>
      </c>
      <c r="Y43" s="46"/>
      <c r="Z43" s="46">
        <f>+T43-X43</f>
        <v>104.5</v>
      </c>
      <c r="AA43" s="39">
        <f>Z43/T43</f>
        <v>2.5800557983359257E-2</v>
      </c>
      <c r="AB43" s="73">
        <v>4050.34</v>
      </c>
      <c r="AC43" s="73"/>
      <c r="AD43" s="73"/>
      <c r="AE43" s="39"/>
      <c r="AF43" s="74"/>
      <c r="AG43" s="74"/>
      <c r="AH43" s="75"/>
      <c r="AI43" s="75">
        <f t="shared" si="43"/>
        <v>0</v>
      </c>
      <c r="AJ43" s="32"/>
      <c r="AK43" s="32"/>
      <c r="AL43" s="32"/>
      <c r="AM43" s="33"/>
      <c r="AN43" s="33"/>
      <c r="AO43" s="33"/>
      <c r="AP43" s="34">
        <f t="shared" si="44"/>
        <v>0</v>
      </c>
      <c r="AQ43" s="32">
        <f t="shared" si="45"/>
        <v>0</v>
      </c>
      <c r="AR43" s="32">
        <f t="shared" si="46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>IF(AND(AB43="",AC43=""),T43,IF(AC43="",AB43,AC43))</f>
        <v>4050.34</v>
      </c>
      <c r="BC43" s="45">
        <f>+X43</f>
        <v>3945.8</v>
      </c>
      <c r="BD43" s="45"/>
      <c r="BE43" s="45">
        <f t="shared" si="47"/>
        <v>104.53999999999996</v>
      </c>
      <c r="BF43" s="39">
        <f t="shared" si="48"/>
        <v>2.5810178898561593E-2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46279</v>
      </c>
      <c r="G44" s="24" t="s">
        <v>59</v>
      </c>
      <c r="H44" s="24">
        <v>58</v>
      </c>
      <c r="I44" s="24">
        <v>1</v>
      </c>
      <c r="J44" s="24" t="s">
        <v>64</v>
      </c>
      <c r="K44" s="25">
        <v>162004448</v>
      </c>
      <c r="L44" s="26">
        <v>46279</v>
      </c>
      <c r="M44" s="38">
        <v>46280</v>
      </c>
      <c r="N44" s="52">
        <v>16706</v>
      </c>
      <c r="O44" s="27"/>
      <c r="P44" s="27"/>
      <c r="Q44" s="27"/>
      <c r="R44" s="46">
        <v>5146.55</v>
      </c>
      <c r="S44" s="46">
        <v>1196.4500000000003</v>
      </c>
      <c r="T44" s="46">
        <f t="shared" si="42"/>
        <v>3950.1</v>
      </c>
      <c r="U44" s="46">
        <v>3970.4</v>
      </c>
      <c r="V44" s="46"/>
      <c r="W44" s="46"/>
      <c r="X44" s="46">
        <v>3832</v>
      </c>
      <c r="Y44" s="46"/>
      <c r="Z44" s="46">
        <f>+T44-X44</f>
        <v>118.09999999999991</v>
      </c>
      <c r="AA44" s="39">
        <f>Z44/T44</f>
        <v>2.9897977266398295E-2</v>
      </c>
      <c r="AB44" s="73">
        <v>3950.05</v>
      </c>
      <c r="AC44" s="73"/>
      <c r="AD44" s="73"/>
      <c r="AE44" s="39"/>
      <c r="AF44" s="74"/>
      <c r="AG44" s="74"/>
      <c r="AH44" s="75"/>
      <c r="AI44" s="75">
        <f t="shared" si="43"/>
        <v>0</v>
      </c>
      <c r="AJ44" s="32"/>
      <c r="AK44" s="32"/>
      <c r="AL44" s="32"/>
      <c r="AM44" s="33"/>
      <c r="AN44" s="33"/>
      <c r="AO44" s="33"/>
      <c r="AP44" s="34">
        <f t="shared" si="44"/>
        <v>0</v>
      </c>
      <c r="AQ44" s="32">
        <f t="shared" si="45"/>
        <v>0</v>
      </c>
      <c r="AR44" s="32">
        <f t="shared" si="46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>IF(AND(AB44="",AC44=""),T44,IF(AC44="",AB44,AC44))</f>
        <v>3950.05</v>
      </c>
      <c r="BC44" s="45">
        <f>+X44</f>
        <v>3832</v>
      </c>
      <c r="BD44" s="45"/>
      <c r="BE44" s="45">
        <f t="shared" si="47"/>
        <v>118.05000000000018</v>
      </c>
      <c r="BF44" s="39">
        <f t="shared" si="48"/>
        <v>2.9885697649396886E-2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68</v>
      </c>
      <c r="F45" s="36">
        <v>46279</v>
      </c>
      <c r="G45" s="24" t="s">
        <v>59</v>
      </c>
      <c r="H45" s="24">
        <v>58</v>
      </c>
      <c r="I45" s="24">
        <v>1</v>
      </c>
      <c r="J45" s="24" t="s">
        <v>68</v>
      </c>
      <c r="K45" s="25">
        <v>162001487</v>
      </c>
      <c r="L45" s="26">
        <v>46279</v>
      </c>
      <c r="M45" s="38">
        <v>46281</v>
      </c>
      <c r="N45" s="52">
        <v>16709</v>
      </c>
      <c r="O45" s="27"/>
      <c r="P45" s="27"/>
      <c r="Q45" s="27"/>
      <c r="R45" s="46">
        <v>5148.47</v>
      </c>
      <c r="S45" s="46">
        <v>1195.3700000000003</v>
      </c>
      <c r="T45" s="46">
        <f t="shared" si="42"/>
        <v>3953.1</v>
      </c>
      <c r="U45" s="46">
        <v>3977.6</v>
      </c>
      <c r="V45" s="46"/>
      <c r="W45" s="46"/>
      <c r="X45" s="46">
        <v>3907.4</v>
      </c>
      <c r="Y45" s="46"/>
      <c r="Z45" s="46">
        <f>+T45-X45</f>
        <v>45.699999999999818</v>
      </c>
      <c r="AA45" s="39">
        <f>Z45/T45</f>
        <v>1.1560547418481653E-2</v>
      </c>
      <c r="AB45" s="73">
        <v>3953.05</v>
      </c>
      <c r="AC45" s="73"/>
      <c r="AD45" s="73"/>
      <c r="AE45" s="39"/>
      <c r="AF45" s="74"/>
      <c r="AG45" s="74"/>
      <c r="AH45" s="75"/>
      <c r="AI45" s="75">
        <f t="shared" si="43"/>
        <v>0</v>
      </c>
      <c r="AJ45" s="32"/>
      <c r="AK45" s="32"/>
      <c r="AL45" s="32"/>
      <c r="AM45" s="33"/>
      <c r="AN45" s="33"/>
      <c r="AO45" s="33"/>
      <c r="AP45" s="34">
        <f t="shared" si="44"/>
        <v>0</v>
      </c>
      <c r="AQ45" s="32">
        <f t="shared" si="45"/>
        <v>0</v>
      </c>
      <c r="AR45" s="32">
        <f t="shared" si="46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>IF(AND(AB45="",AC45=""),T45,IF(AC45="",AB45,AC45))</f>
        <v>3953.05</v>
      </c>
      <c r="BC45" s="45">
        <f>+X45</f>
        <v>3907.4</v>
      </c>
      <c r="BD45" s="45"/>
      <c r="BE45" s="45">
        <f t="shared" si="47"/>
        <v>45.650000000000091</v>
      </c>
      <c r="BF45" s="39">
        <f t="shared" si="48"/>
        <v>1.1548045180303838E-2</v>
      </c>
    </row>
    <row r="46" spans="1:58" s="91" customFormat="1" ht="12.75" x14ac:dyDescent="0.2">
      <c r="A46" s="76">
        <f>IF(ISBLANK(F46),"",COUNTA($F$6:F46))</f>
        <v>41</v>
      </c>
      <c r="B46" s="77" t="s">
        <v>60</v>
      </c>
      <c r="C46" s="77" t="s">
        <v>61</v>
      </c>
      <c r="D46" s="78"/>
      <c r="E46" s="79" t="s">
        <v>65</v>
      </c>
      <c r="F46" s="80">
        <v>46279</v>
      </c>
      <c r="G46" s="81" t="s">
        <v>59</v>
      </c>
      <c r="H46" s="81">
        <v>58</v>
      </c>
      <c r="I46" s="81">
        <v>1</v>
      </c>
      <c r="J46" s="81" t="s">
        <v>67</v>
      </c>
      <c r="K46" s="82">
        <v>162011771</v>
      </c>
      <c r="L46" s="83">
        <v>46280</v>
      </c>
      <c r="M46" s="84">
        <v>46282</v>
      </c>
      <c r="N46" s="85">
        <v>16714</v>
      </c>
      <c r="O46" s="86"/>
      <c r="P46" s="86"/>
      <c r="Q46" s="86"/>
      <c r="R46" s="46">
        <v>5086.6000000000004</v>
      </c>
      <c r="S46" s="46">
        <v>1185.0000000000005</v>
      </c>
      <c r="T46" s="46">
        <f t="shared" si="42"/>
        <v>3901.6</v>
      </c>
      <c r="U46" s="46">
        <v>4008.4</v>
      </c>
      <c r="V46" s="46"/>
      <c r="W46" s="46"/>
      <c r="X46" s="46">
        <v>3946.6</v>
      </c>
      <c r="Y46" s="46"/>
      <c r="Z46" s="46">
        <f>+T46-X46</f>
        <v>-45</v>
      </c>
      <c r="AA46" s="39">
        <f>Z46/T46</f>
        <v>-1.1533729751896657E-2</v>
      </c>
      <c r="AB46" s="73">
        <v>3908.45</v>
      </c>
      <c r="AC46" s="73"/>
      <c r="AD46" s="73"/>
      <c r="AE46" s="39"/>
      <c r="AF46" s="74"/>
      <c r="AG46" s="74"/>
      <c r="AH46" s="75"/>
      <c r="AI46" s="75">
        <f t="shared" si="43"/>
        <v>0</v>
      </c>
      <c r="AJ46" s="87"/>
      <c r="AK46" s="87"/>
      <c r="AL46" s="87"/>
      <c r="AM46" s="88"/>
      <c r="AN46" s="88"/>
      <c r="AO46" s="88"/>
      <c r="AP46" s="89">
        <f t="shared" si="44"/>
        <v>0</v>
      </c>
      <c r="AQ46" s="87">
        <f t="shared" si="45"/>
        <v>0</v>
      </c>
      <c r="AR46" s="87">
        <f t="shared" si="46"/>
        <v>0</v>
      </c>
      <c r="AS46" s="87"/>
      <c r="AT46" s="87"/>
      <c r="AU46" s="87"/>
      <c r="AV46" s="87"/>
      <c r="AW46" s="87"/>
      <c r="AX46" s="87"/>
      <c r="AY46" s="87"/>
      <c r="AZ46" s="90"/>
      <c r="BB46" s="92">
        <f>IF(AND(AB46="",AC46=""),T46,IF(AC46="",AB46,AC46))</f>
        <v>3908.45</v>
      </c>
      <c r="BC46" s="92">
        <f>+X46</f>
        <v>3946.6</v>
      </c>
      <c r="BD46" s="92"/>
      <c r="BE46" s="92">
        <f t="shared" si="47"/>
        <v>-38.150000000000091</v>
      </c>
      <c r="BF46" s="39">
        <f t="shared" si="48"/>
        <v>-9.7609026596221244E-3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66</v>
      </c>
      <c r="F47" s="36">
        <v>46279</v>
      </c>
      <c r="G47" s="24" t="s">
        <v>59</v>
      </c>
      <c r="H47" s="24">
        <v>59</v>
      </c>
      <c r="I47" s="24">
        <v>0</v>
      </c>
      <c r="J47" s="24" t="s">
        <v>66</v>
      </c>
      <c r="K47" s="25">
        <v>162003258</v>
      </c>
      <c r="L47" s="26">
        <v>46279</v>
      </c>
      <c r="M47" s="38">
        <v>46281</v>
      </c>
      <c r="N47" s="52">
        <v>16711</v>
      </c>
      <c r="O47" s="27"/>
      <c r="P47" s="27"/>
      <c r="Q47" s="27"/>
      <c r="R47" s="46">
        <v>5349.49</v>
      </c>
      <c r="S47" s="46">
        <v>1171.1899999999996</v>
      </c>
      <c r="T47" s="46">
        <f t="shared" ref="T47:T54" si="49">+R47-S47</f>
        <v>4178.3</v>
      </c>
      <c r="U47" s="46">
        <v>4178.3999999999996</v>
      </c>
      <c r="V47" s="46"/>
      <c r="W47" s="46"/>
      <c r="X47" s="46">
        <v>4146.3999999999996</v>
      </c>
      <c r="Y47" s="46"/>
      <c r="Z47" s="46">
        <f>+T47-X47</f>
        <v>31.900000000000546</v>
      </c>
      <c r="AA47" s="39">
        <f>Z47/T47</f>
        <v>7.6346839623771734E-3</v>
      </c>
      <c r="AB47" s="73">
        <v>4178.34</v>
      </c>
      <c r="AC47" s="73"/>
      <c r="AD47" s="73"/>
      <c r="AE47" s="39"/>
      <c r="AF47" s="74"/>
      <c r="AG47" s="74"/>
      <c r="AH47" s="75"/>
      <c r="AI47" s="75">
        <f t="shared" ref="AI47:AI54" si="50">+AG47+AH47</f>
        <v>0</v>
      </c>
      <c r="AJ47" s="32"/>
      <c r="AK47" s="32"/>
      <c r="AL47" s="32"/>
      <c r="AM47" s="33"/>
      <c r="AN47" s="33"/>
      <c r="AO47" s="33"/>
      <c r="AP47" s="34">
        <f t="shared" ref="AP47:AP54" si="51">ROUNDUP((AO47-AM47+(AO47&lt;AM47))*24,0)</f>
        <v>0</v>
      </c>
      <c r="AQ47" s="32">
        <f t="shared" ref="AQ47:AQ54" si="52">IF(AP47&gt;5,(AP47-5),0)</f>
        <v>0</v>
      </c>
      <c r="AR47" s="32">
        <f t="shared" ref="AR47:AR54" si="53">+AQ47*8850</f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>IF(AND(AB47="",AC47=""),T47,IF(AC47="",AB47,AC47))</f>
        <v>4178.34</v>
      </c>
      <c r="BC47" s="45">
        <f>+X47</f>
        <v>4146.3999999999996</v>
      </c>
      <c r="BD47" s="45"/>
      <c r="BE47" s="45">
        <f t="shared" ref="BE47:BE54" si="54">+BB47-BC47</f>
        <v>31.940000000000509</v>
      </c>
      <c r="BF47" s="39">
        <f t="shared" ref="BF47:BF54" si="55">+BE47/BB47</f>
        <v>7.6441840539545631E-3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66</v>
      </c>
      <c r="F48" s="36">
        <v>46280</v>
      </c>
      <c r="G48" s="24" t="s">
        <v>59</v>
      </c>
      <c r="H48" s="24">
        <v>58</v>
      </c>
      <c r="I48" s="24">
        <v>0</v>
      </c>
      <c r="J48" s="24" t="s">
        <v>66</v>
      </c>
      <c r="K48" s="25">
        <v>162003259</v>
      </c>
      <c r="L48" s="26">
        <v>46280</v>
      </c>
      <c r="M48" s="38">
        <v>46281</v>
      </c>
      <c r="N48" s="52">
        <v>16712</v>
      </c>
      <c r="O48" s="27"/>
      <c r="P48" s="27"/>
      <c r="Q48" s="27"/>
      <c r="R48" s="46">
        <v>5260.99</v>
      </c>
      <c r="S48" s="46">
        <v>1208.8899999999999</v>
      </c>
      <c r="T48" s="46">
        <f t="shared" si="49"/>
        <v>4052.1</v>
      </c>
      <c r="U48" s="46">
        <v>4051</v>
      </c>
      <c r="V48" s="46"/>
      <c r="W48" s="46"/>
      <c r="X48" s="46">
        <v>4112</v>
      </c>
      <c r="Y48" s="46"/>
      <c r="Z48" s="46">
        <f>+T48-X48</f>
        <v>-59.900000000000091</v>
      </c>
      <c r="AA48" s="39">
        <f>Z48/T48</f>
        <v>-1.4782458478319906E-2</v>
      </c>
      <c r="AB48" s="73">
        <v>4052.12</v>
      </c>
      <c r="AC48" s="73"/>
      <c r="AD48" s="73"/>
      <c r="AE48" s="39"/>
      <c r="AF48" s="74"/>
      <c r="AG48" s="74"/>
      <c r="AH48" s="75"/>
      <c r="AI48" s="75">
        <f t="shared" si="50"/>
        <v>0</v>
      </c>
      <c r="AJ48" s="32"/>
      <c r="AK48" s="32"/>
      <c r="AL48" s="32"/>
      <c r="AM48" s="33"/>
      <c r="AN48" s="33"/>
      <c r="AO48" s="33"/>
      <c r="AP48" s="34">
        <f t="shared" si="51"/>
        <v>0</v>
      </c>
      <c r="AQ48" s="32">
        <f t="shared" si="52"/>
        <v>0</v>
      </c>
      <c r="AR48" s="32">
        <f t="shared" si="53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>IF(AND(AB48="",AC48=""),T48,IF(AC48="",AB48,AC48))</f>
        <v>4052.12</v>
      </c>
      <c r="BC48" s="45">
        <f>+X48</f>
        <v>4112</v>
      </c>
      <c r="BD48" s="45"/>
      <c r="BE48" s="45">
        <f t="shared" si="54"/>
        <v>-59.880000000000109</v>
      </c>
      <c r="BF48" s="39">
        <f t="shared" si="55"/>
        <v>-1.4777449828731654E-2</v>
      </c>
    </row>
    <row r="49" spans="1:58" s="91" customFormat="1" ht="12.75" x14ac:dyDescent="0.2">
      <c r="A49" s="76">
        <f>IF(ISBLANK(F49),"",COUNTA($F$6:F49))</f>
        <v>44</v>
      </c>
      <c r="B49" s="77" t="s">
        <v>60</v>
      </c>
      <c r="C49" s="77" t="s">
        <v>61</v>
      </c>
      <c r="D49" s="55"/>
      <c r="E49" s="79" t="s">
        <v>65</v>
      </c>
      <c r="F49" s="80">
        <v>46280</v>
      </c>
      <c r="G49" s="81" t="s">
        <v>59</v>
      </c>
      <c r="H49" s="81">
        <v>58</v>
      </c>
      <c r="I49" s="81">
        <v>2</v>
      </c>
      <c r="J49" s="81" t="s">
        <v>67</v>
      </c>
      <c r="K49" s="82">
        <v>162011773</v>
      </c>
      <c r="L49" s="83">
        <v>46280</v>
      </c>
      <c r="M49" s="84">
        <v>46285</v>
      </c>
      <c r="N49" s="85">
        <v>16730</v>
      </c>
      <c r="O49" s="63"/>
      <c r="P49" s="63"/>
      <c r="Q49" s="63"/>
      <c r="R49" s="46">
        <v>5085.1000000000004</v>
      </c>
      <c r="S49" s="46">
        <v>1181.0000000000005</v>
      </c>
      <c r="T49" s="46">
        <f t="shared" si="49"/>
        <v>3904.1</v>
      </c>
      <c r="U49" s="46">
        <v>3939.8</v>
      </c>
      <c r="V49" s="46"/>
      <c r="W49" s="46"/>
      <c r="X49" s="46">
        <v>3963.8</v>
      </c>
      <c r="Y49" s="64"/>
      <c r="Z49" s="46">
        <f>+T49-X49</f>
        <v>-59.700000000000273</v>
      </c>
      <c r="AA49" s="39">
        <f>Z49/T49</f>
        <v>-1.5291616505724821E-2</v>
      </c>
      <c r="AB49" s="73">
        <v>3977.44</v>
      </c>
      <c r="AC49" s="73"/>
      <c r="AD49" s="66"/>
      <c r="AE49" s="65"/>
      <c r="AF49" s="67"/>
      <c r="AG49" s="67"/>
      <c r="AH49" s="68"/>
      <c r="AI49" s="68">
        <f t="shared" si="50"/>
        <v>0</v>
      </c>
      <c r="AJ49" s="69"/>
      <c r="AK49" s="69"/>
      <c r="AL49" s="69"/>
      <c r="AM49" s="70"/>
      <c r="AN49" s="70"/>
      <c r="AO49" s="70"/>
      <c r="AP49" s="71">
        <f t="shared" si="51"/>
        <v>0</v>
      </c>
      <c r="AQ49" s="69">
        <f t="shared" si="52"/>
        <v>0</v>
      </c>
      <c r="AR49" s="69">
        <f t="shared" si="53"/>
        <v>0</v>
      </c>
      <c r="AS49" s="69"/>
      <c r="AT49" s="69"/>
      <c r="AU49" s="69"/>
      <c r="AV49" s="69"/>
      <c r="AW49" s="69"/>
      <c r="AX49" s="69"/>
      <c r="AY49" s="69"/>
      <c r="AZ49" s="90"/>
      <c r="BB49" s="92">
        <f>IF(AND(AB49="",AC49=""),T49,IF(AC49="",AB49,AC49))</f>
        <v>3977.44</v>
      </c>
      <c r="BC49" s="92">
        <f>+X49</f>
        <v>3963.8</v>
      </c>
      <c r="BD49" s="45"/>
      <c r="BE49" s="92">
        <f t="shared" si="54"/>
        <v>13.639999999999873</v>
      </c>
      <c r="BF49" s="39">
        <f t="shared" si="55"/>
        <v>3.4293414859809003E-3</v>
      </c>
    </row>
    <row r="50" spans="1:58" s="91" customFormat="1" ht="12.75" x14ac:dyDescent="0.2">
      <c r="A50" s="76">
        <f>IF(ISBLANK(F50),"",COUNTA($F$6:F50))</f>
        <v>45</v>
      </c>
      <c r="B50" s="77" t="s">
        <v>60</v>
      </c>
      <c r="C50" s="77" t="s">
        <v>61</v>
      </c>
      <c r="D50" s="55"/>
      <c r="E50" s="79" t="s">
        <v>64</v>
      </c>
      <c r="F50" s="80">
        <v>46280</v>
      </c>
      <c r="G50" s="81" t="s">
        <v>59</v>
      </c>
      <c r="H50" s="81">
        <v>59</v>
      </c>
      <c r="I50" s="81">
        <v>2</v>
      </c>
      <c r="J50" s="81" t="s">
        <v>64</v>
      </c>
      <c r="K50" s="82">
        <v>162004450</v>
      </c>
      <c r="L50" s="83">
        <v>46280</v>
      </c>
      <c r="M50" s="84">
        <v>46283</v>
      </c>
      <c r="N50" s="85">
        <v>16721</v>
      </c>
      <c r="O50" s="63"/>
      <c r="P50" s="63"/>
      <c r="Q50" s="63"/>
      <c r="R50" s="46">
        <v>5156.99</v>
      </c>
      <c r="S50" s="46">
        <v>1194.79</v>
      </c>
      <c r="T50" s="46">
        <f t="shared" si="49"/>
        <v>3962.2</v>
      </c>
      <c r="U50" s="46">
        <v>3977.2</v>
      </c>
      <c r="V50" s="46"/>
      <c r="W50" s="46"/>
      <c r="X50" s="46">
        <v>3796.4</v>
      </c>
      <c r="Y50" s="64"/>
      <c r="Z50" s="46">
        <f>+T50-X50</f>
        <v>165.79999999999973</v>
      </c>
      <c r="AA50" s="39">
        <f>Z50/T50</f>
        <v>4.1845439402352164E-2</v>
      </c>
      <c r="AB50" s="73">
        <v>3962.15</v>
      </c>
      <c r="AC50" s="73"/>
      <c r="AD50" s="66"/>
      <c r="AE50" s="65"/>
      <c r="AF50" s="67"/>
      <c r="AG50" s="67"/>
      <c r="AH50" s="68"/>
      <c r="AI50" s="68">
        <f t="shared" si="50"/>
        <v>0</v>
      </c>
      <c r="AJ50" s="69"/>
      <c r="AK50" s="69"/>
      <c r="AL50" s="69"/>
      <c r="AM50" s="70"/>
      <c r="AN50" s="70"/>
      <c r="AO50" s="70"/>
      <c r="AP50" s="71">
        <f t="shared" si="51"/>
        <v>0</v>
      </c>
      <c r="AQ50" s="69">
        <f t="shared" si="52"/>
        <v>0</v>
      </c>
      <c r="AR50" s="69">
        <f t="shared" si="53"/>
        <v>0</v>
      </c>
      <c r="AS50" s="69"/>
      <c r="AT50" s="69"/>
      <c r="AU50" s="69"/>
      <c r="AV50" s="69"/>
      <c r="AW50" s="69"/>
      <c r="AX50" s="69"/>
      <c r="AY50" s="69"/>
      <c r="AZ50" s="90"/>
      <c r="BB50" s="92">
        <f>IF(AND(AB50="",AC50=""),T50,IF(AC50="",AB50,AC50))</f>
        <v>3962.15</v>
      </c>
      <c r="BC50" s="92">
        <f>+X50</f>
        <v>3796.4</v>
      </c>
      <c r="BD50" s="45"/>
      <c r="BE50" s="92">
        <f t="shared" si="54"/>
        <v>165.75</v>
      </c>
      <c r="BF50" s="39">
        <f t="shared" si="55"/>
        <v>4.1833348055979706E-2</v>
      </c>
    </row>
    <row r="51" spans="1:58" s="91" customFormat="1" ht="12.75" x14ac:dyDescent="0.2">
      <c r="A51" s="76">
        <f>IF(ISBLANK(F51),"",COUNTA($F$6:F51))</f>
        <v>46</v>
      </c>
      <c r="B51" s="77" t="s">
        <v>60</v>
      </c>
      <c r="C51" s="77" t="s">
        <v>61</v>
      </c>
      <c r="D51" s="55"/>
      <c r="E51" s="79" t="s">
        <v>68</v>
      </c>
      <c r="F51" s="80">
        <v>46280</v>
      </c>
      <c r="G51" s="81" t="s">
        <v>59</v>
      </c>
      <c r="H51" s="81">
        <v>59</v>
      </c>
      <c r="I51" s="81">
        <v>2</v>
      </c>
      <c r="J51" s="81" t="s">
        <v>68</v>
      </c>
      <c r="K51" s="82">
        <v>162001489</v>
      </c>
      <c r="L51" s="83">
        <v>46281</v>
      </c>
      <c r="M51" s="84">
        <v>46282</v>
      </c>
      <c r="N51" s="85">
        <v>16716</v>
      </c>
      <c r="O51" s="63"/>
      <c r="P51" s="63"/>
      <c r="Q51" s="63"/>
      <c r="R51" s="46">
        <v>5151.67</v>
      </c>
      <c r="S51" s="46">
        <v>1194.9700000000003</v>
      </c>
      <c r="T51" s="46">
        <f t="shared" si="49"/>
        <v>3956.7</v>
      </c>
      <c r="U51" s="46">
        <v>3974.8</v>
      </c>
      <c r="V51" s="46"/>
      <c r="W51" s="46"/>
      <c r="X51" s="46">
        <v>4172</v>
      </c>
      <c r="Y51" s="64"/>
      <c r="Z51" s="46">
        <f>+T51-X51</f>
        <v>-215.30000000000018</v>
      </c>
      <c r="AA51" s="39">
        <f>Z51/T51</f>
        <v>-5.4414031895266307E-2</v>
      </c>
      <c r="AB51" s="73">
        <v>3956.65</v>
      </c>
      <c r="AC51" s="73"/>
      <c r="AD51" s="66"/>
      <c r="AE51" s="65"/>
      <c r="AF51" s="67"/>
      <c r="AG51" s="67"/>
      <c r="AH51" s="68"/>
      <c r="AI51" s="68">
        <f t="shared" si="50"/>
        <v>0</v>
      </c>
      <c r="AJ51" s="69"/>
      <c r="AK51" s="69"/>
      <c r="AL51" s="69"/>
      <c r="AM51" s="70"/>
      <c r="AN51" s="70"/>
      <c r="AO51" s="70"/>
      <c r="AP51" s="71">
        <f t="shared" si="51"/>
        <v>0</v>
      </c>
      <c r="AQ51" s="69">
        <f t="shared" si="52"/>
        <v>0</v>
      </c>
      <c r="AR51" s="69">
        <f t="shared" si="53"/>
        <v>0</v>
      </c>
      <c r="AS51" s="69"/>
      <c r="AT51" s="69"/>
      <c r="AU51" s="69"/>
      <c r="AV51" s="69"/>
      <c r="AW51" s="69"/>
      <c r="AX51" s="69"/>
      <c r="AY51" s="69"/>
      <c r="AZ51" s="90"/>
      <c r="BB51" s="92">
        <f>IF(AND(AB51="",AC51=""),T51,IF(AC51="",AB51,AC51))</f>
        <v>3956.65</v>
      </c>
      <c r="BC51" s="92">
        <f>+X51</f>
        <v>4172</v>
      </c>
      <c r="BD51" s="45"/>
      <c r="BE51" s="92">
        <f t="shared" si="54"/>
        <v>-215.34999999999991</v>
      </c>
      <c r="BF51" s="39">
        <f t="shared" si="55"/>
        <v>-5.4427356475806529E-2</v>
      </c>
    </row>
    <row r="52" spans="1:58" s="91" customFormat="1" ht="12.75" x14ac:dyDescent="0.2">
      <c r="A52" s="76">
        <f>IF(ISBLANK(F52),"",COUNTA($F$6:F52))</f>
        <v>47</v>
      </c>
      <c r="B52" s="77" t="s">
        <v>60</v>
      </c>
      <c r="C52" s="77" t="s">
        <v>61</v>
      </c>
      <c r="D52" s="55"/>
      <c r="E52" s="79" t="s">
        <v>65</v>
      </c>
      <c r="F52" s="80">
        <v>46280</v>
      </c>
      <c r="G52" s="81" t="s">
        <v>59</v>
      </c>
      <c r="H52" s="81">
        <v>58</v>
      </c>
      <c r="I52" s="81">
        <v>1</v>
      </c>
      <c r="J52" s="81" t="s">
        <v>67</v>
      </c>
      <c r="K52" s="82">
        <v>162011774</v>
      </c>
      <c r="L52" s="83">
        <v>46281</v>
      </c>
      <c r="M52" s="84">
        <v>46282</v>
      </c>
      <c r="N52" s="85">
        <v>16717</v>
      </c>
      <c r="O52" s="63"/>
      <c r="P52" s="63"/>
      <c r="Q52" s="63"/>
      <c r="R52" s="46">
        <v>5181.79</v>
      </c>
      <c r="S52" s="46">
        <v>1194.5900000000001</v>
      </c>
      <c r="T52" s="46">
        <f t="shared" si="49"/>
        <v>3987.2</v>
      </c>
      <c r="U52" s="46">
        <v>4013.2</v>
      </c>
      <c r="V52" s="46"/>
      <c r="W52" s="46"/>
      <c r="X52" s="46">
        <v>4157</v>
      </c>
      <c r="Y52" s="64"/>
      <c r="Z52" s="46">
        <f>+T52-X52</f>
        <v>-169.80000000000018</v>
      </c>
      <c r="AA52" s="39">
        <f>Z52/T52</f>
        <v>-4.2586276083467142E-2</v>
      </c>
      <c r="AB52" s="73">
        <v>4124.53</v>
      </c>
      <c r="AC52" s="73"/>
      <c r="AD52" s="66"/>
      <c r="AE52" s="65"/>
      <c r="AF52" s="67"/>
      <c r="AG52" s="67"/>
      <c r="AH52" s="68"/>
      <c r="AI52" s="68">
        <f t="shared" si="50"/>
        <v>0</v>
      </c>
      <c r="AJ52" s="69"/>
      <c r="AK52" s="69"/>
      <c r="AL52" s="69"/>
      <c r="AM52" s="70"/>
      <c r="AN52" s="70"/>
      <c r="AO52" s="70"/>
      <c r="AP52" s="71">
        <f t="shared" si="51"/>
        <v>0</v>
      </c>
      <c r="AQ52" s="69">
        <f t="shared" si="52"/>
        <v>0</v>
      </c>
      <c r="AR52" s="69">
        <f t="shared" si="53"/>
        <v>0</v>
      </c>
      <c r="AS52" s="69"/>
      <c r="AT52" s="69"/>
      <c r="AU52" s="69"/>
      <c r="AV52" s="69"/>
      <c r="AW52" s="69"/>
      <c r="AX52" s="69"/>
      <c r="AY52" s="69"/>
      <c r="AZ52" s="90"/>
      <c r="BB52" s="92">
        <f>IF(AND(AB52="",AC52=""),T52,IF(AC52="",AB52,AC52))</f>
        <v>4124.53</v>
      </c>
      <c r="BC52" s="92">
        <f>+X52</f>
        <v>4157</v>
      </c>
      <c r="BD52" s="45"/>
      <c r="BE52" s="92">
        <f t="shared" si="54"/>
        <v>-32.470000000000255</v>
      </c>
      <c r="BF52" s="39">
        <f t="shared" si="55"/>
        <v>-7.8724121293820767E-3</v>
      </c>
    </row>
    <row r="53" spans="1:58" s="91" customFormat="1" ht="12.75" x14ac:dyDescent="0.2">
      <c r="A53" s="76">
        <f>IF(ISBLANK(F53),"",COUNTA($F$6:F53))</f>
        <v>48</v>
      </c>
      <c r="B53" s="77" t="s">
        <v>60</v>
      </c>
      <c r="C53" s="77" t="s">
        <v>61</v>
      </c>
      <c r="D53" s="55"/>
      <c r="E53" s="79" t="s">
        <v>64</v>
      </c>
      <c r="F53" s="80">
        <v>46281</v>
      </c>
      <c r="G53" s="81" t="s">
        <v>59</v>
      </c>
      <c r="H53" s="81">
        <v>58</v>
      </c>
      <c r="I53" s="81">
        <v>3</v>
      </c>
      <c r="J53" s="81" t="s">
        <v>64</v>
      </c>
      <c r="K53" s="82">
        <v>162004452</v>
      </c>
      <c r="L53" s="83">
        <v>46281</v>
      </c>
      <c r="M53" s="84">
        <v>46284</v>
      </c>
      <c r="N53" s="85">
        <v>16726</v>
      </c>
      <c r="O53" s="63"/>
      <c r="P53" s="63"/>
      <c r="Q53" s="63"/>
      <c r="R53" s="46">
        <v>4970.01</v>
      </c>
      <c r="S53" s="46">
        <v>1158.4100000000003</v>
      </c>
      <c r="T53" s="46">
        <f t="shared" si="49"/>
        <v>3811.6</v>
      </c>
      <c r="U53" s="46">
        <v>3833.4</v>
      </c>
      <c r="V53" s="46"/>
      <c r="W53" s="46"/>
      <c r="X53" s="46">
        <v>3717.4</v>
      </c>
      <c r="Y53" s="64"/>
      <c r="Z53" s="46">
        <f>+T53-X53</f>
        <v>94.199999999999818</v>
      </c>
      <c r="AA53" s="39">
        <f>Z53/T53</f>
        <v>2.4714030853184969E-2</v>
      </c>
      <c r="AB53" s="73">
        <v>3811.6</v>
      </c>
      <c r="AC53" s="73"/>
      <c r="AD53" s="66"/>
      <c r="AE53" s="65"/>
      <c r="AF53" s="67"/>
      <c r="AG53" s="67"/>
      <c r="AH53" s="68"/>
      <c r="AI53" s="68">
        <f t="shared" si="50"/>
        <v>0</v>
      </c>
      <c r="AJ53" s="69"/>
      <c r="AK53" s="69"/>
      <c r="AL53" s="69"/>
      <c r="AM53" s="70"/>
      <c r="AN53" s="70"/>
      <c r="AO53" s="70"/>
      <c r="AP53" s="71">
        <f t="shared" si="51"/>
        <v>0</v>
      </c>
      <c r="AQ53" s="69">
        <f t="shared" si="52"/>
        <v>0</v>
      </c>
      <c r="AR53" s="69">
        <f t="shared" si="53"/>
        <v>0</v>
      </c>
      <c r="AS53" s="69"/>
      <c r="AT53" s="69"/>
      <c r="AU53" s="69"/>
      <c r="AV53" s="69"/>
      <c r="AW53" s="69"/>
      <c r="AX53" s="69"/>
      <c r="AY53" s="69"/>
      <c r="AZ53" s="90"/>
      <c r="BB53" s="92">
        <f>IF(AND(AB53="",AC53=""),T53,IF(AC53="",AB53,AC53))</f>
        <v>3811.6</v>
      </c>
      <c r="BC53" s="92">
        <f>+X53</f>
        <v>3717.4</v>
      </c>
      <c r="BD53" s="45"/>
      <c r="BE53" s="92">
        <f t="shared" si="54"/>
        <v>94.199999999999818</v>
      </c>
      <c r="BF53" s="39">
        <f t="shared" si="55"/>
        <v>2.4714030853184969E-2</v>
      </c>
    </row>
    <row r="54" spans="1:58" s="91" customFormat="1" ht="12.75" x14ac:dyDescent="0.2">
      <c r="A54" s="76">
        <f>IF(ISBLANK(F54),"",COUNTA($F$6:F54))</f>
        <v>49</v>
      </c>
      <c r="B54" s="77" t="s">
        <v>60</v>
      </c>
      <c r="C54" s="77" t="s">
        <v>61</v>
      </c>
      <c r="D54" s="55"/>
      <c r="E54" s="79" t="s">
        <v>68</v>
      </c>
      <c r="F54" s="80">
        <v>46281</v>
      </c>
      <c r="G54" s="81" t="s">
        <v>59</v>
      </c>
      <c r="H54" s="81">
        <v>58</v>
      </c>
      <c r="I54" s="81">
        <v>1</v>
      </c>
      <c r="J54" s="81" t="s">
        <v>68</v>
      </c>
      <c r="K54" s="82">
        <v>162001492</v>
      </c>
      <c r="L54" s="83">
        <v>46281</v>
      </c>
      <c r="M54" s="84">
        <v>46283</v>
      </c>
      <c r="N54" s="85">
        <v>16719</v>
      </c>
      <c r="O54" s="63"/>
      <c r="P54" s="63"/>
      <c r="Q54" s="63"/>
      <c r="R54" s="46">
        <v>5246.1</v>
      </c>
      <c r="S54" s="46">
        <v>1207.7000000000003</v>
      </c>
      <c r="T54" s="46">
        <f t="shared" si="49"/>
        <v>4038.4</v>
      </c>
      <c r="U54" s="46">
        <v>4056.2</v>
      </c>
      <c r="V54" s="46"/>
      <c r="W54" s="46"/>
      <c r="X54" s="46">
        <v>3992</v>
      </c>
      <c r="Y54" s="64"/>
      <c r="Z54" s="46">
        <f>+T54-X54</f>
        <v>46.400000000000091</v>
      </c>
      <c r="AA54" s="39">
        <f>Z54/T54</f>
        <v>1.1489698890649784E-2</v>
      </c>
      <c r="AB54" s="73">
        <v>4038.35</v>
      </c>
      <c r="AC54" s="73"/>
      <c r="AD54" s="66"/>
      <c r="AE54" s="65"/>
      <c r="AF54" s="67"/>
      <c r="AG54" s="67"/>
      <c r="AH54" s="68"/>
      <c r="AI54" s="68">
        <f t="shared" si="50"/>
        <v>0</v>
      </c>
      <c r="AJ54" s="69"/>
      <c r="AK54" s="69"/>
      <c r="AL54" s="69"/>
      <c r="AM54" s="70"/>
      <c r="AN54" s="70"/>
      <c r="AO54" s="70"/>
      <c r="AP54" s="71">
        <f t="shared" si="51"/>
        <v>0</v>
      </c>
      <c r="AQ54" s="69">
        <f t="shared" si="52"/>
        <v>0</v>
      </c>
      <c r="AR54" s="69">
        <f t="shared" si="53"/>
        <v>0</v>
      </c>
      <c r="AS54" s="69"/>
      <c r="AT54" s="69"/>
      <c r="AU54" s="69"/>
      <c r="AV54" s="69"/>
      <c r="AW54" s="69"/>
      <c r="AX54" s="69"/>
      <c r="AY54" s="69"/>
      <c r="AZ54" s="90"/>
      <c r="BB54" s="92">
        <f>IF(AND(AB54="",AC54=""),T54,IF(AC54="",AB54,AC54))</f>
        <v>4038.35</v>
      </c>
      <c r="BC54" s="92">
        <f>+X54</f>
        <v>3992</v>
      </c>
      <c r="BD54" s="45"/>
      <c r="BE54" s="92">
        <f t="shared" si="54"/>
        <v>46.349999999999909</v>
      </c>
      <c r="BF54" s="39">
        <f t="shared" si="55"/>
        <v>1.1477459853653079E-2</v>
      </c>
    </row>
    <row r="55" spans="1:58" s="91" customFormat="1" ht="12.75" x14ac:dyDescent="0.2">
      <c r="A55" s="76">
        <f>IF(ISBLANK(F55),"",COUNTA($F$6:F55))</f>
        <v>50</v>
      </c>
      <c r="B55" s="77" t="s">
        <v>60</v>
      </c>
      <c r="C55" s="77" t="s">
        <v>61</v>
      </c>
      <c r="D55" s="55"/>
      <c r="E55" s="79" t="s">
        <v>63</v>
      </c>
      <c r="F55" s="80">
        <v>46281</v>
      </c>
      <c r="G55" s="81" t="s">
        <v>59</v>
      </c>
      <c r="H55" s="81">
        <v>59</v>
      </c>
      <c r="I55" s="81">
        <v>3</v>
      </c>
      <c r="J55" s="81" t="s">
        <v>63</v>
      </c>
      <c r="K55" s="82">
        <v>162006553</v>
      </c>
      <c r="L55" s="83">
        <v>46281</v>
      </c>
      <c r="M55" s="84">
        <v>46283</v>
      </c>
      <c r="N55" s="85">
        <v>16722</v>
      </c>
      <c r="O55" s="63"/>
      <c r="P55" s="63"/>
      <c r="Q55" s="63"/>
      <c r="R55" s="46">
        <v>5076.75</v>
      </c>
      <c r="S55" s="46">
        <v>1171.8499999999999</v>
      </c>
      <c r="T55" s="46">
        <f t="shared" si="42"/>
        <v>3904.9</v>
      </c>
      <c r="U55" s="46">
        <v>3910.8</v>
      </c>
      <c r="V55" s="46"/>
      <c r="W55" s="46"/>
      <c r="X55" s="46">
        <v>3908.6</v>
      </c>
      <c r="Y55" s="64"/>
      <c r="Z55" s="46">
        <f>+T55-X55</f>
        <v>-3.6999999999998181</v>
      </c>
      <c r="AA55" s="39">
        <f>Z55/T55</f>
        <v>-9.475274654920275E-4</v>
      </c>
      <c r="AB55" s="73"/>
      <c r="AC55" s="73"/>
      <c r="AD55" s="66"/>
      <c r="AE55" s="65"/>
      <c r="AF55" s="67"/>
      <c r="AG55" s="67"/>
      <c r="AH55" s="68"/>
      <c r="AI55" s="68">
        <f t="shared" si="43"/>
        <v>0</v>
      </c>
      <c r="AJ55" s="69"/>
      <c r="AK55" s="69"/>
      <c r="AL55" s="69"/>
      <c r="AM55" s="70"/>
      <c r="AN55" s="70"/>
      <c r="AO55" s="70"/>
      <c r="AP55" s="71">
        <f t="shared" si="44"/>
        <v>0</v>
      </c>
      <c r="AQ55" s="69">
        <f t="shared" si="45"/>
        <v>0</v>
      </c>
      <c r="AR55" s="69">
        <f t="shared" si="46"/>
        <v>0</v>
      </c>
      <c r="AS55" s="69"/>
      <c r="AT55" s="69"/>
      <c r="AU55" s="69"/>
      <c r="AV55" s="69"/>
      <c r="AW55" s="69"/>
      <c r="AX55" s="69"/>
      <c r="AY55" s="69"/>
      <c r="AZ55" s="90"/>
      <c r="BB55" s="92">
        <f>IF(AND(AB55="",AC55=""),T55,IF(AC55="",AB55,AC55))</f>
        <v>3904.9</v>
      </c>
      <c r="BC55" s="92">
        <f>+X55</f>
        <v>3908.6</v>
      </c>
      <c r="BD55" s="45"/>
      <c r="BE55" s="92">
        <f t="shared" si="47"/>
        <v>-3.6999999999998181</v>
      </c>
      <c r="BF55" s="39">
        <f t="shared" si="48"/>
        <v>-9.475274654920275E-4</v>
      </c>
    </row>
    <row r="56" spans="1:58" s="91" customFormat="1" ht="12.75" x14ac:dyDescent="0.2">
      <c r="A56" s="76">
        <f>IF(ISBLANK(F56),"",COUNTA($F$6:F56))</f>
        <v>51</v>
      </c>
      <c r="B56" s="77" t="s">
        <v>60</v>
      </c>
      <c r="C56" s="77" t="s">
        <v>61</v>
      </c>
      <c r="D56" s="55"/>
      <c r="E56" s="79" t="s">
        <v>65</v>
      </c>
      <c r="F56" s="80">
        <v>46281</v>
      </c>
      <c r="G56" s="81" t="s">
        <v>59</v>
      </c>
      <c r="H56" s="81">
        <v>58</v>
      </c>
      <c r="I56" s="81">
        <v>0</v>
      </c>
      <c r="J56" s="81" t="s">
        <v>67</v>
      </c>
      <c r="K56" s="82">
        <v>162011776</v>
      </c>
      <c r="L56" s="83">
        <v>46282</v>
      </c>
      <c r="M56" s="84">
        <v>46287</v>
      </c>
      <c r="N56" s="85">
        <v>16736</v>
      </c>
      <c r="O56" s="63"/>
      <c r="P56" s="63"/>
      <c r="Q56" s="63"/>
      <c r="R56" s="46">
        <v>5280.91</v>
      </c>
      <c r="S56" s="46">
        <v>1217.71</v>
      </c>
      <c r="T56" s="46">
        <f t="shared" si="42"/>
        <v>4063.2</v>
      </c>
      <c r="U56" s="46">
        <v>4081</v>
      </c>
      <c r="V56" s="46"/>
      <c r="W56" s="46"/>
      <c r="X56" s="46">
        <v>4058.4</v>
      </c>
      <c r="Y56" s="64"/>
      <c r="Z56" s="46">
        <f>+T56-X56</f>
        <v>4.7999999999997272</v>
      </c>
      <c r="AA56" s="39">
        <f>Z56/T56</f>
        <v>1.1813349084464776E-3</v>
      </c>
      <c r="AB56" s="73">
        <v>4089.4</v>
      </c>
      <c r="AC56" s="73"/>
      <c r="AD56" s="66"/>
      <c r="AE56" s="65"/>
      <c r="AF56" s="67"/>
      <c r="AG56" s="67"/>
      <c r="AH56" s="68"/>
      <c r="AI56" s="68">
        <f t="shared" si="43"/>
        <v>0</v>
      </c>
      <c r="AJ56" s="69"/>
      <c r="AK56" s="69"/>
      <c r="AL56" s="69"/>
      <c r="AM56" s="70"/>
      <c r="AN56" s="70"/>
      <c r="AO56" s="70"/>
      <c r="AP56" s="71">
        <f t="shared" si="44"/>
        <v>0</v>
      </c>
      <c r="AQ56" s="69">
        <f t="shared" si="45"/>
        <v>0</v>
      </c>
      <c r="AR56" s="69">
        <f t="shared" si="46"/>
        <v>0</v>
      </c>
      <c r="AS56" s="69"/>
      <c r="AT56" s="69"/>
      <c r="AU56" s="69"/>
      <c r="AV56" s="69"/>
      <c r="AW56" s="69"/>
      <c r="AX56" s="69"/>
      <c r="AY56" s="69"/>
      <c r="AZ56" s="90"/>
      <c r="BB56" s="92">
        <f>IF(AND(AB56="",AC56=""),T56,IF(AC56="",AB56,AC56))</f>
        <v>4089.4</v>
      </c>
      <c r="BC56" s="92">
        <f>+X56</f>
        <v>4058.4</v>
      </c>
      <c r="BD56" s="45"/>
      <c r="BE56" s="92">
        <f t="shared" si="47"/>
        <v>31</v>
      </c>
      <c r="BF56" s="39">
        <f t="shared" si="48"/>
        <v>7.5805741673595148E-3</v>
      </c>
    </row>
    <row r="57" spans="1:58" s="91" customFormat="1" ht="12.75" x14ac:dyDescent="0.2">
      <c r="A57" s="76">
        <f>IF(ISBLANK(F57),"",COUNTA($F$6:F57))</f>
        <v>52</v>
      </c>
      <c r="B57" s="77" t="s">
        <v>60</v>
      </c>
      <c r="C57" s="77" t="s">
        <v>61</v>
      </c>
      <c r="D57" s="55"/>
      <c r="E57" s="79" t="s">
        <v>63</v>
      </c>
      <c r="F57" s="80">
        <v>46281</v>
      </c>
      <c r="G57" s="81" t="s">
        <v>59</v>
      </c>
      <c r="H57" s="81">
        <v>58</v>
      </c>
      <c r="I57" s="81">
        <v>6</v>
      </c>
      <c r="J57" s="81" t="s">
        <v>63</v>
      </c>
      <c r="K57" s="82">
        <v>162006554</v>
      </c>
      <c r="L57" s="83">
        <v>46281</v>
      </c>
      <c r="M57" s="84">
        <v>46284</v>
      </c>
      <c r="N57" s="85">
        <v>16727</v>
      </c>
      <c r="O57" s="63"/>
      <c r="P57" s="63"/>
      <c r="Q57" s="63"/>
      <c r="R57" s="46">
        <v>4727.6000000000004</v>
      </c>
      <c r="S57" s="46">
        <v>1082.5000000000005</v>
      </c>
      <c r="T57" s="46">
        <f t="shared" ref="T57:T80" si="56">+R57-S57</f>
        <v>3645.1</v>
      </c>
      <c r="U57" s="46">
        <v>3646.8</v>
      </c>
      <c r="V57" s="46"/>
      <c r="W57" s="46"/>
      <c r="X57" s="46">
        <v>3626</v>
      </c>
      <c r="Y57" s="64"/>
      <c r="Z57" s="46">
        <f>+T57-X57</f>
        <v>19.099999999999909</v>
      </c>
      <c r="AA57" s="39">
        <f>Z57/T57</f>
        <v>5.2399111135496721E-3</v>
      </c>
      <c r="AB57" s="73">
        <v>3645.05</v>
      </c>
      <c r="AC57" s="73"/>
      <c r="AD57" s="66"/>
      <c r="AE57" s="65"/>
      <c r="AF57" s="67"/>
      <c r="AG57" s="67"/>
      <c r="AH57" s="68"/>
      <c r="AI57" s="68">
        <f t="shared" ref="AI57:AI80" si="57">+AG57+AH57</f>
        <v>0</v>
      </c>
      <c r="AJ57" s="69"/>
      <c r="AK57" s="69"/>
      <c r="AL57" s="69"/>
      <c r="AM57" s="70"/>
      <c r="AN57" s="70"/>
      <c r="AO57" s="70"/>
      <c r="AP57" s="71">
        <f t="shared" ref="AP57:AP80" si="58">ROUNDUP((AO57-AM57+(AO57&lt;AM57))*24,0)</f>
        <v>0</v>
      </c>
      <c r="AQ57" s="69">
        <f t="shared" ref="AQ57:AQ80" si="59">IF(AP57&gt;5,(AP57-5),0)</f>
        <v>0</v>
      </c>
      <c r="AR57" s="69">
        <f t="shared" ref="AR57:AR80" si="60">+AQ57*8850</f>
        <v>0</v>
      </c>
      <c r="AS57" s="69"/>
      <c r="AT57" s="69"/>
      <c r="AU57" s="69"/>
      <c r="AV57" s="69"/>
      <c r="AW57" s="69"/>
      <c r="AX57" s="69"/>
      <c r="AY57" s="69"/>
      <c r="AZ57" s="90"/>
      <c r="BB57" s="92">
        <f>IF(AND(AB57="",AC57=""),T57,IF(AC57="",AB57,AC57))</f>
        <v>3645.05</v>
      </c>
      <c r="BC57" s="92">
        <f>+X57</f>
        <v>3626</v>
      </c>
      <c r="BD57" s="45"/>
      <c r="BE57" s="92">
        <f t="shared" ref="BE57:BE80" si="61">+BB57-BC57</f>
        <v>19.050000000000182</v>
      </c>
      <c r="BF57" s="39">
        <f t="shared" ref="BF57:BF80" si="62">+BE57/BB57</f>
        <v>5.2262657576714125E-3</v>
      </c>
    </row>
    <row r="58" spans="1:58" s="91" customFormat="1" ht="12.75" x14ac:dyDescent="0.2">
      <c r="A58" s="76">
        <f>IF(ISBLANK(F58),"",COUNTA($F$6:F58))</f>
        <v>53</v>
      </c>
      <c r="B58" s="77" t="s">
        <v>60</v>
      </c>
      <c r="C58" s="77" t="s">
        <v>61</v>
      </c>
      <c r="D58" s="55"/>
      <c r="E58" s="79" t="s">
        <v>63</v>
      </c>
      <c r="F58" s="80">
        <v>46282</v>
      </c>
      <c r="G58" s="81" t="s">
        <v>59</v>
      </c>
      <c r="H58" s="81">
        <v>58</v>
      </c>
      <c r="I58" s="81">
        <v>1</v>
      </c>
      <c r="J58" s="81" t="s">
        <v>63</v>
      </c>
      <c r="K58" s="82">
        <v>162006555</v>
      </c>
      <c r="L58" s="83">
        <v>46282</v>
      </c>
      <c r="M58" s="84">
        <v>46285</v>
      </c>
      <c r="N58" s="85">
        <v>16729</v>
      </c>
      <c r="O58" s="63"/>
      <c r="P58" s="63"/>
      <c r="Q58" s="63"/>
      <c r="R58" s="46">
        <v>5177.32</v>
      </c>
      <c r="S58" s="46">
        <v>1196.9199999999996</v>
      </c>
      <c r="T58" s="46">
        <f t="shared" si="56"/>
        <v>3980.4</v>
      </c>
      <c r="U58" s="46">
        <v>3985.2</v>
      </c>
      <c r="V58" s="46"/>
      <c r="W58" s="46"/>
      <c r="X58" s="46">
        <v>3900.4</v>
      </c>
      <c r="Y58" s="64"/>
      <c r="Z58" s="46">
        <f>+T58-X58</f>
        <v>80</v>
      </c>
      <c r="AA58" s="39">
        <f>Z58/T58</f>
        <v>2.0098482564566374E-2</v>
      </c>
      <c r="AB58" s="73">
        <v>3980.35</v>
      </c>
      <c r="AC58" s="73"/>
      <c r="AD58" s="66"/>
      <c r="AE58" s="65"/>
      <c r="AF58" s="67"/>
      <c r="AG58" s="67"/>
      <c r="AH58" s="68"/>
      <c r="AI58" s="68">
        <f t="shared" si="57"/>
        <v>0</v>
      </c>
      <c r="AJ58" s="69"/>
      <c r="AK58" s="69"/>
      <c r="AL58" s="69"/>
      <c r="AM58" s="70"/>
      <c r="AN58" s="70"/>
      <c r="AO58" s="70"/>
      <c r="AP58" s="71">
        <f t="shared" si="58"/>
        <v>0</v>
      </c>
      <c r="AQ58" s="69">
        <f t="shared" si="59"/>
        <v>0</v>
      </c>
      <c r="AR58" s="69">
        <f t="shared" si="60"/>
        <v>0</v>
      </c>
      <c r="AS58" s="69"/>
      <c r="AT58" s="69"/>
      <c r="AU58" s="69"/>
      <c r="AV58" s="69"/>
      <c r="AW58" s="69"/>
      <c r="AX58" s="69"/>
      <c r="AY58" s="69"/>
      <c r="AZ58" s="90"/>
      <c r="BB58" s="92">
        <f>IF(AND(AB58="",AC58=""),T58,IF(AC58="",AB58,AC58))</f>
        <v>3980.35</v>
      </c>
      <c r="BC58" s="92">
        <f>+X58</f>
        <v>3900.4</v>
      </c>
      <c r="BD58" s="45"/>
      <c r="BE58" s="92">
        <f t="shared" si="61"/>
        <v>79.949999999999818</v>
      </c>
      <c r="BF58" s="39">
        <f t="shared" si="62"/>
        <v>2.0086173326466221E-2</v>
      </c>
    </row>
    <row r="59" spans="1:58" s="91" customFormat="1" ht="12.75" x14ac:dyDescent="0.2">
      <c r="A59" s="76">
        <f>IF(ISBLANK(F59),"",COUNTA($F$6:F59))</f>
        <v>54</v>
      </c>
      <c r="B59" s="77" t="s">
        <v>60</v>
      </c>
      <c r="C59" s="77" t="s">
        <v>61</v>
      </c>
      <c r="D59" s="55"/>
      <c r="E59" s="79" t="s">
        <v>66</v>
      </c>
      <c r="F59" s="80">
        <v>46282</v>
      </c>
      <c r="G59" s="81" t="s">
        <v>59</v>
      </c>
      <c r="H59" s="81">
        <v>58</v>
      </c>
      <c r="I59" s="81">
        <v>1</v>
      </c>
      <c r="J59" s="81" t="s">
        <v>66</v>
      </c>
      <c r="K59" s="82">
        <v>162003261</v>
      </c>
      <c r="L59" s="83">
        <v>46282</v>
      </c>
      <c r="M59" s="84">
        <v>46283</v>
      </c>
      <c r="N59" s="85">
        <v>16724</v>
      </c>
      <c r="O59" s="63"/>
      <c r="P59" s="63"/>
      <c r="Q59" s="63"/>
      <c r="R59" s="46">
        <v>5169.49</v>
      </c>
      <c r="S59" s="46">
        <v>1185.3899999999999</v>
      </c>
      <c r="T59" s="46">
        <f t="shared" si="56"/>
        <v>3984.1</v>
      </c>
      <c r="U59" s="46">
        <v>3984.2</v>
      </c>
      <c r="V59" s="46"/>
      <c r="W59" s="46"/>
      <c r="X59" s="46">
        <v>3872</v>
      </c>
      <c r="Y59" s="64"/>
      <c r="Z59" s="46">
        <f>+T59-X59</f>
        <v>112.09999999999991</v>
      </c>
      <c r="AA59" s="39">
        <f>Z59/T59</f>
        <v>2.8136843954719989E-2</v>
      </c>
      <c r="AB59" s="73">
        <v>3978.6</v>
      </c>
      <c r="AC59" s="73"/>
      <c r="AD59" s="66"/>
      <c r="AE59" s="65"/>
      <c r="AF59" s="67"/>
      <c r="AG59" s="67"/>
      <c r="AH59" s="68"/>
      <c r="AI59" s="68">
        <f t="shared" si="57"/>
        <v>0</v>
      </c>
      <c r="AJ59" s="69"/>
      <c r="AK59" s="69"/>
      <c r="AL59" s="69"/>
      <c r="AM59" s="70"/>
      <c r="AN59" s="70"/>
      <c r="AO59" s="70"/>
      <c r="AP59" s="71">
        <f t="shared" si="58"/>
        <v>0</v>
      </c>
      <c r="AQ59" s="69">
        <f t="shared" si="59"/>
        <v>0</v>
      </c>
      <c r="AR59" s="69">
        <f t="shared" si="60"/>
        <v>0</v>
      </c>
      <c r="AS59" s="69"/>
      <c r="AT59" s="69"/>
      <c r="AU59" s="69"/>
      <c r="AV59" s="69"/>
      <c r="AW59" s="69"/>
      <c r="AX59" s="69"/>
      <c r="AY59" s="69"/>
      <c r="AZ59" s="90"/>
      <c r="BB59" s="92">
        <f>IF(AND(AB59="",AC59=""),T59,IF(AC59="",AB59,AC59))</f>
        <v>3978.6</v>
      </c>
      <c r="BC59" s="92">
        <f>+X59</f>
        <v>3872</v>
      </c>
      <c r="BD59" s="45"/>
      <c r="BE59" s="92">
        <f t="shared" si="61"/>
        <v>106.59999999999991</v>
      </c>
      <c r="BF59" s="39">
        <f t="shared" si="62"/>
        <v>2.6793344392499852E-2</v>
      </c>
    </row>
    <row r="60" spans="1:58" s="91" customFormat="1" ht="12.75" x14ac:dyDescent="0.2">
      <c r="A60" s="76">
        <f>IF(ISBLANK(F60),"",COUNTA($F$6:F60))</f>
        <v>55</v>
      </c>
      <c r="B60" s="77" t="s">
        <v>60</v>
      </c>
      <c r="C60" s="77" t="s">
        <v>61</v>
      </c>
      <c r="D60" s="55"/>
      <c r="E60" s="79" t="s">
        <v>68</v>
      </c>
      <c r="F60" s="80">
        <v>46282</v>
      </c>
      <c r="G60" s="81" t="s">
        <v>59</v>
      </c>
      <c r="H60" s="81">
        <v>58</v>
      </c>
      <c r="I60" s="81">
        <v>0</v>
      </c>
      <c r="J60" s="81" t="s">
        <v>68</v>
      </c>
      <c r="K60" s="82">
        <v>162001494</v>
      </c>
      <c r="L60" s="83">
        <v>46283</v>
      </c>
      <c r="M60" s="84">
        <v>46286</v>
      </c>
      <c r="N60" s="85">
        <v>16734</v>
      </c>
      <c r="O60" s="63"/>
      <c r="P60" s="63"/>
      <c r="Q60" s="63"/>
      <c r="R60" s="46">
        <v>5253.9</v>
      </c>
      <c r="S60" s="46">
        <v>1194.7999999999997</v>
      </c>
      <c r="T60" s="46">
        <f t="shared" si="56"/>
        <v>4059.1</v>
      </c>
      <c r="U60" s="46">
        <v>4065</v>
      </c>
      <c r="V60" s="46"/>
      <c r="W60" s="46"/>
      <c r="X60" s="46">
        <v>3764</v>
      </c>
      <c r="Y60" s="64"/>
      <c r="Z60" s="46">
        <f>+T60-X60</f>
        <v>295.09999999999991</v>
      </c>
      <c r="AA60" s="39">
        <f>Z60/T60</f>
        <v>7.2700845014904758E-2</v>
      </c>
      <c r="AB60" s="73">
        <v>4059.1</v>
      </c>
      <c r="AC60" s="73"/>
      <c r="AD60" s="66"/>
      <c r="AE60" s="65"/>
      <c r="AF60" s="67"/>
      <c r="AG60" s="67"/>
      <c r="AH60" s="68"/>
      <c r="AI60" s="68">
        <f t="shared" si="57"/>
        <v>0</v>
      </c>
      <c r="AJ60" s="69"/>
      <c r="AK60" s="69"/>
      <c r="AL60" s="69"/>
      <c r="AM60" s="70"/>
      <c r="AN60" s="70"/>
      <c r="AO60" s="70"/>
      <c r="AP60" s="71">
        <f t="shared" si="58"/>
        <v>0</v>
      </c>
      <c r="AQ60" s="69">
        <f t="shared" si="59"/>
        <v>0</v>
      </c>
      <c r="AR60" s="69">
        <f t="shared" si="60"/>
        <v>0</v>
      </c>
      <c r="AS60" s="69"/>
      <c r="AT60" s="69"/>
      <c r="AU60" s="69"/>
      <c r="AV60" s="69"/>
      <c r="AW60" s="69"/>
      <c r="AX60" s="69"/>
      <c r="AY60" s="69"/>
      <c r="AZ60" s="90"/>
      <c r="BB60" s="92">
        <f>IF(AND(AB60="",AC60=""),T60,IF(AC60="",AB60,AC60))</f>
        <v>4059.1</v>
      </c>
      <c r="BC60" s="92">
        <f>+X60</f>
        <v>3764</v>
      </c>
      <c r="BD60" s="45"/>
      <c r="BE60" s="92">
        <f t="shared" si="61"/>
        <v>295.09999999999991</v>
      </c>
      <c r="BF60" s="39">
        <f t="shared" si="62"/>
        <v>7.2700845014904758E-2</v>
      </c>
    </row>
    <row r="61" spans="1:58" s="91" customFormat="1" ht="12.75" x14ac:dyDescent="0.2">
      <c r="A61" s="76">
        <f>IF(ISBLANK(F61),"",COUNTA($F$6:F61))</f>
        <v>56</v>
      </c>
      <c r="B61" s="77" t="s">
        <v>60</v>
      </c>
      <c r="C61" s="77" t="s">
        <v>61</v>
      </c>
      <c r="D61" s="55"/>
      <c r="E61" s="79" t="s">
        <v>65</v>
      </c>
      <c r="F61" s="80">
        <v>46282</v>
      </c>
      <c r="G61" s="81" t="s">
        <v>59</v>
      </c>
      <c r="H61" s="81">
        <v>58</v>
      </c>
      <c r="I61" s="81">
        <v>8</v>
      </c>
      <c r="J61" s="81" t="s">
        <v>67</v>
      </c>
      <c r="K61" s="82">
        <v>162011778</v>
      </c>
      <c r="L61" s="83">
        <v>46283</v>
      </c>
      <c r="M61" s="84">
        <v>46285</v>
      </c>
      <c r="N61" s="85">
        <v>16732</v>
      </c>
      <c r="O61" s="63"/>
      <c r="P61" s="63"/>
      <c r="Q61" s="63"/>
      <c r="R61" s="46">
        <v>4908.6000000000004</v>
      </c>
      <c r="S61" s="46">
        <v>1160.8000000000002</v>
      </c>
      <c r="T61" s="46">
        <f t="shared" si="56"/>
        <v>3747.8</v>
      </c>
      <c r="U61" s="46">
        <v>3844.4</v>
      </c>
      <c r="V61" s="46"/>
      <c r="W61" s="46"/>
      <c r="X61" s="46">
        <v>3796.8</v>
      </c>
      <c r="Y61" s="64"/>
      <c r="Z61" s="46">
        <f>+T61-X61</f>
        <v>-49</v>
      </c>
      <c r="AA61" s="39">
        <f>Z61/T61</f>
        <v>-1.3074336944340679E-2</v>
      </c>
      <c r="AB61" s="73">
        <v>3769.33</v>
      </c>
      <c r="AC61" s="73"/>
      <c r="AD61" s="66"/>
      <c r="AE61" s="65"/>
      <c r="AF61" s="67"/>
      <c r="AG61" s="67"/>
      <c r="AH61" s="68"/>
      <c r="AI61" s="68">
        <f t="shared" si="57"/>
        <v>0</v>
      </c>
      <c r="AJ61" s="69"/>
      <c r="AK61" s="69"/>
      <c r="AL61" s="69"/>
      <c r="AM61" s="70"/>
      <c r="AN61" s="70"/>
      <c r="AO61" s="70"/>
      <c r="AP61" s="71">
        <f t="shared" si="58"/>
        <v>0</v>
      </c>
      <c r="AQ61" s="69">
        <f t="shared" si="59"/>
        <v>0</v>
      </c>
      <c r="AR61" s="69">
        <f t="shared" si="60"/>
        <v>0</v>
      </c>
      <c r="AS61" s="69"/>
      <c r="AT61" s="69"/>
      <c r="AU61" s="69"/>
      <c r="AV61" s="69"/>
      <c r="AW61" s="69"/>
      <c r="AX61" s="69"/>
      <c r="AY61" s="69"/>
      <c r="AZ61" s="90"/>
      <c r="BB61" s="92">
        <f>IF(AND(AB61="",AC61=""),T61,IF(AC61="",AB61,AC61))</f>
        <v>3769.33</v>
      </c>
      <c r="BC61" s="92">
        <f>+X61</f>
        <v>3796.8</v>
      </c>
      <c r="BD61" s="45"/>
      <c r="BE61" s="92">
        <f t="shared" si="61"/>
        <v>-27.470000000000255</v>
      </c>
      <c r="BF61" s="39">
        <f t="shared" si="62"/>
        <v>-7.2877673220440387E-3</v>
      </c>
    </row>
    <row r="62" spans="1:58" s="91" customFormat="1" ht="12.75" x14ac:dyDescent="0.2">
      <c r="A62" s="76">
        <f>IF(ISBLANK(F62),"",COUNTA($F$6:F62))</f>
        <v>57</v>
      </c>
      <c r="B62" s="77" t="s">
        <v>60</v>
      </c>
      <c r="C62" s="77" t="s">
        <v>61</v>
      </c>
      <c r="D62" s="55"/>
      <c r="E62" s="79" t="s">
        <v>65</v>
      </c>
      <c r="F62" s="80">
        <v>46285</v>
      </c>
      <c r="G62" s="81" t="s">
        <v>59</v>
      </c>
      <c r="H62" s="81">
        <v>58</v>
      </c>
      <c r="I62" s="81">
        <v>0</v>
      </c>
      <c r="J62" s="81" t="s">
        <v>67</v>
      </c>
      <c r="K62" s="82">
        <v>162011784</v>
      </c>
      <c r="L62" s="83">
        <v>46285</v>
      </c>
      <c r="M62" s="84">
        <v>46287</v>
      </c>
      <c r="N62" s="85">
        <v>16739</v>
      </c>
      <c r="O62" s="63"/>
      <c r="P62" s="63"/>
      <c r="Q62" s="63"/>
      <c r="R62" s="46">
        <v>5087.3999999999996</v>
      </c>
      <c r="S62" s="46">
        <v>1211.1999999999998</v>
      </c>
      <c r="T62" s="46">
        <f t="shared" si="56"/>
        <v>3876.2</v>
      </c>
      <c r="U62" s="46">
        <v>4051.4</v>
      </c>
      <c r="V62" s="46"/>
      <c r="W62" s="46"/>
      <c r="X62" s="46">
        <v>3891.98</v>
      </c>
      <c r="Y62" s="64"/>
      <c r="Z62" s="46">
        <f>+T62-X62</f>
        <v>-15.7800000000002</v>
      </c>
      <c r="AA62" s="39">
        <f>Z62/T62</f>
        <v>-4.0709973685568862E-3</v>
      </c>
      <c r="AB62" s="73">
        <v>3882.68</v>
      </c>
      <c r="AC62" s="73"/>
      <c r="AD62" s="66"/>
      <c r="AE62" s="65"/>
      <c r="AF62" s="67"/>
      <c r="AG62" s="67"/>
      <c r="AH62" s="68"/>
      <c r="AI62" s="68">
        <f t="shared" si="57"/>
        <v>0</v>
      </c>
      <c r="AJ62" s="69"/>
      <c r="AK62" s="69"/>
      <c r="AL62" s="69"/>
      <c r="AM62" s="70"/>
      <c r="AN62" s="70"/>
      <c r="AO62" s="70"/>
      <c r="AP62" s="71">
        <f t="shared" si="58"/>
        <v>0</v>
      </c>
      <c r="AQ62" s="69">
        <f t="shared" si="59"/>
        <v>0</v>
      </c>
      <c r="AR62" s="69">
        <f t="shared" si="60"/>
        <v>0</v>
      </c>
      <c r="AS62" s="69"/>
      <c r="AT62" s="69"/>
      <c r="AU62" s="69"/>
      <c r="AV62" s="69"/>
      <c r="AW62" s="69"/>
      <c r="AX62" s="69"/>
      <c r="AY62" s="69"/>
      <c r="AZ62" s="90"/>
      <c r="BB62" s="92">
        <f>IF(AND(AB62="",AC62=""),T62,IF(AC62="",AB62,AC62))</f>
        <v>3882.68</v>
      </c>
      <c r="BC62" s="92">
        <f>+X62</f>
        <v>3891.98</v>
      </c>
      <c r="BD62" s="45"/>
      <c r="BE62" s="92">
        <f t="shared" si="61"/>
        <v>-9.3000000000001819</v>
      </c>
      <c r="BF62" s="39">
        <f t="shared" si="62"/>
        <v>-2.3952527635551172E-3</v>
      </c>
    </row>
    <row r="63" spans="1:58" s="91" customFormat="1" ht="12.75" x14ac:dyDescent="0.2">
      <c r="A63" s="76">
        <f>IF(ISBLANK(F63),"",COUNTA($F$6:F63))</f>
        <v>58</v>
      </c>
      <c r="B63" s="77" t="s">
        <v>60</v>
      </c>
      <c r="C63" s="77" t="s">
        <v>61</v>
      </c>
      <c r="D63" s="55"/>
      <c r="E63" s="79" t="s">
        <v>63</v>
      </c>
      <c r="F63" s="80">
        <v>46285</v>
      </c>
      <c r="G63" s="81" t="s">
        <v>59</v>
      </c>
      <c r="H63" s="81">
        <v>59</v>
      </c>
      <c r="I63" s="81">
        <v>3</v>
      </c>
      <c r="J63" s="81" t="s">
        <v>63</v>
      </c>
      <c r="K63" s="82">
        <v>162006571</v>
      </c>
      <c r="L63" s="83">
        <v>46285</v>
      </c>
      <c r="M63" s="84">
        <v>46287</v>
      </c>
      <c r="N63" s="85">
        <v>16738</v>
      </c>
      <c r="O63" s="63"/>
      <c r="P63" s="63"/>
      <c r="Q63" s="63"/>
      <c r="R63" s="46">
        <v>5056.95</v>
      </c>
      <c r="S63" s="46">
        <v>1111.5499999999997</v>
      </c>
      <c r="T63" s="46">
        <f t="shared" si="56"/>
        <v>3945.4</v>
      </c>
      <c r="U63" s="46">
        <v>3959.8</v>
      </c>
      <c r="V63" s="46"/>
      <c r="W63" s="46"/>
      <c r="X63" s="46">
        <v>3873.4</v>
      </c>
      <c r="Y63" s="64"/>
      <c r="Z63" s="46">
        <f>+T63-X63</f>
        <v>72</v>
      </c>
      <c r="AA63" s="39">
        <f>Z63/T63</f>
        <v>1.8249100217975364E-2</v>
      </c>
      <c r="AB63" s="73">
        <v>3945.35</v>
      </c>
      <c r="AC63" s="73"/>
      <c r="AD63" s="66"/>
      <c r="AE63" s="65"/>
      <c r="AF63" s="67"/>
      <c r="AG63" s="67"/>
      <c r="AH63" s="68"/>
      <c r="AI63" s="68">
        <f t="shared" si="57"/>
        <v>0</v>
      </c>
      <c r="AJ63" s="69"/>
      <c r="AK63" s="69"/>
      <c r="AL63" s="69"/>
      <c r="AM63" s="70"/>
      <c r="AN63" s="70"/>
      <c r="AO63" s="70"/>
      <c r="AP63" s="71">
        <f t="shared" si="58"/>
        <v>0</v>
      </c>
      <c r="AQ63" s="69">
        <f t="shared" si="59"/>
        <v>0</v>
      </c>
      <c r="AR63" s="69">
        <f t="shared" si="60"/>
        <v>0</v>
      </c>
      <c r="AS63" s="69"/>
      <c r="AT63" s="69"/>
      <c r="AU63" s="69"/>
      <c r="AV63" s="69"/>
      <c r="AW63" s="69"/>
      <c r="AX63" s="69"/>
      <c r="AY63" s="69"/>
      <c r="AZ63" s="90"/>
      <c r="BB63" s="92">
        <f>IF(AND(AB63="",AC63=""),T63,IF(AC63="",AB63,AC63))</f>
        <v>3945.35</v>
      </c>
      <c r="BC63" s="92">
        <f>+X63</f>
        <v>3873.4</v>
      </c>
      <c r="BD63" s="45"/>
      <c r="BE63" s="92">
        <f t="shared" si="61"/>
        <v>71.949999999999818</v>
      </c>
      <c r="BF63" s="39">
        <f t="shared" si="62"/>
        <v>1.8236658344633509E-2</v>
      </c>
    </row>
    <row r="64" spans="1:58" s="91" customFormat="1" ht="12.75" x14ac:dyDescent="0.2">
      <c r="A64" s="76">
        <f>IF(ISBLANK(F64),"",COUNTA($F$6:F64))</f>
        <v>59</v>
      </c>
      <c r="B64" s="77" t="s">
        <v>60</v>
      </c>
      <c r="C64" s="77" t="s">
        <v>61</v>
      </c>
      <c r="D64" s="55"/>
      <c r="E64" s="79" t="s">
        <v>62</v>
      </c>
      <c r="F64" s="80">
        <v>46285</v>
      </c>
      <c r="G64" s="81" t="s">
        <v>59</v>
      </c>
      <c r="H64" s="81">
        <v>59</v>
      </c>
      <c r="I64" s="81">
        <v>0</v>
      </c>
      <c r="J64" s="81" t="s">
        <v>62</v>
      </c>
      <c r="K64" s="82">
        <v>142000536</v>
      </c>
      <c r="L64" s="83">
        <v>46285</v>
      </c>
      <c r="M64" s="84">
        <v>46288</v>
      </c>
      <c r="N64" s="85">
        <v>16744</v>
      </c>
      <c r="O64" s="63"/>
      <c r="P64" s="63"/>
      <c r="Q64" s="63"/>
      <c r="R64" s="46">
        <v>5375.34</v>
      </c>
      <c r="S64" s="46">
        <v>1236.1400000000003</v>
      </c>
      <c r="T64" s="46">
        <f t="shared" si="56"/>
        <v>4139.2</v>
      </c>
      <c r="U64" s="46">
        <v>4138.2</v>
      </c>
      <c r="V64" s="46"/>
      <c r="W64" s="46"/>
      <c r="X64" s="46">
        <v>4066.8</v>
      </c>
      <c r="Y64" s="64"/>
      <c r="Z64" s="46">
        <f>+T64-X64</f>
        <v>72.399999999999636</v>
      </c>
      <c r="AA64" s="39">
        <f>Z64/T64</f>
        <v>1.7491302667181977E-2</v>
      </c>
      <c r="AB64" s="73">
        <v>4139.16</v>
      </c>
      <c r="AC64" s="73"/>
      <c r="AD64" s="66"/>
      <c r="AE64" s="65"/>
      <c r="AF64" s="67"/>
      <c r="AG64" s="67"/>
      <c r="AH64" s="68"/>
      <c r="AI64" s="68">
        <f t="shared" si="57"/>
        <v>0</v>
      </c>
      <c r="AJ64" s="69"/>
      <c r="AK64" s="69"/>
      <c r="AL64" s="69"/>
      <c r="AM64" s="70"/>
      <c r="AN64" s="70"/>
      <c r="AO64" s="70"/>
      <c r="AP64" s="71">
        <f t="shared" si="58"/>
        <v>0</v>
      </c>
      <c r="AQ64" s="69">
        <f t="shared" si="59"/>
        <v>0</v>
      </c>
      <c r="AR64" s="69">
        <f t="shared" si="60"/>
        <v>0</v>
      </c>
      <c r="AS64" s="69"/>
      <c r="AT64" s="69"/>
      <c r="AU64" s="69"/>
      <c r="AV64" s="69"/>
      <c r="AW64" s="69"/>
      <c r="AX64" s="69"/>
      <c r="AY64" s="69"/>
      <c r="AZ64" s="90"/>
      <c r="BB64" s="92">
        <f>IF(AND(AB64="",AC64=""),T64,IF(AC64="",AB64,AC64))</f>
        <v>4139.16</v>
      </c>
      <c r="BC64" s="92">
        <f>+X64</f>
        <v>4066.8</v>
      </c>
      <c r="BD64" s="45"/>
      <c r="BE64" s="92">
        <f t="shared" si="61"/>
        <v>72.359999999999673</v>
      </c>
      <c r="BF64" s="39">
        <f t="shared" si="62"/>
        <v>1.7481807903052714E-2</v>
      </c>
    </row>
    <row r="65" spans="1:58" s="91" customFormat="1" ht="12.75" x14ac:dyDescent="0.2">
      <c r="A65" s="76">
        <f>IF(ISBLANK(F65),"",COUNTA($F$6:F65))</f>
        <v>60</v>
      </c>
      <c r="B65" s="77" t="s">
        <v>60</v>
      </c>
      <c r="C65" s="77" t="s">
        <v>61</v>
      </c>
      <c r="D65" s="55"/>
      <c r="E65" s="79" t="s">
        <v>66</v>
      </c>
      <c r="F65" s="80">
        <v>46285</v>
      </c>
      <c r="G65" s="81" t="s">
        <v>59</v>
      </c>
      <c r="H65" s="81">
        <v>58</v>
      </c>
      <c r="I65" s="81">
        <v>0</v>
      </c>
      <c r="J65" s="81" t="s">
        <v>66</v>
      </c>
      <c r="K65" s="82">
        <v>162003267</v>
      </c>
      <c r="L65" s="83">
        <v>46285</v>
      </c>
      <c r="M65" s="84">
        <v>46287</v>
      </c>
      <c r="N65" s="85">
        <v>16741</v>
      </c>
      <c r="O65" s="63"/>
      <c r="P65" s="63"/>
      <c r="Q65" s="63"/>
      <c r="R65" s="46">
        <v>5259.8</v>
      </c>
      <c r="S65" s="46">
        <v>1219.8000000000002</v>
      </c>
      <c r="T65" s="46">
        <f t="shared" si="56"/>
        <v>4040</v>
      </c>
      <c r="U65" s="46">
        <v>4039</v>
      </c>
      <c r="V65" s="46"/>
      <c r="W65" s="46"/>
      <c r="X65" s="46">
        <v>3909.44</v>
      </c>
      <c r="Y65" s="64"/>
      <c r="Z65" s="46">
        <f>+T65-X65</f>
        <v>130.55999999999995</v>
      </c>
      <c r="AA65" s="39">
        <f>Z65/T65</f>
        <v>3.2316831683168304E-2</v>
      </c>
      <c r="AB65" s="73">
        <v>4040.04</v>
      </c>
      <c r="AC65" s="73"/>
      <c r="AD65" s="66"/>
      <c r="AE65" s="65"/>
      <c r="AF65" s="67"/>
      <c r="AG65" s="67"/>
      <c r="AH65" s="68"/>
      <c r="AI65" s="68">
        <f t="shared" si="57"/>
        <v>0</v>
      </c>
      <c r="AJ65" s="69"/>
      <c r="AK65" s="69"/>
      <c r="AL65" s="69"/>
      <c r="AM65" s="70"/>
      <c r="AN65" s="70"/>
      <c r="AO65" s="70"/>
      <c r="AP65" s="71">
        <f t="shared" si="58"/>
        <v>0</v>
      </c>
      <c r="AQ65" s="69">
        <f t="shared" si="59"/>
        <v>0</v>
      </c>
      <c r="AR65" s="69">
        <f t="shared" si="60"/>
        <v>0</v>
      </c>
      <c r="AS65" s="69"/>
      <c r="AT65" s="69"/>
      <c r="AU65" s="69"/>
      <c r="AV65" s="69"/>
      <c r="AW65" s="69"/>
      <c r="AX65" s="69"/>
      <c r="AY65" s="69"/>
      <c r="AZ65" s="90"/>
      <c r="BB65" s="92">
        <f>IF(AND(AB65="",AC65=""),T65,IF(AC65="",AB65,AC65))</f>
        <v>4040.04</v>
      </c>
      <c r="BC65" s="92">
        <f>+X65</f>
        <v>3909.44</v>
      </c>
      <c r="BD65" s="45"/>
      <c r="BE65" s="92">
        <f t="shared" si="61"/>
        <v>130.59999999999991</v>
      </c>
      <c r="BF65" s="39">
        <f t="shared" si="62"/>
        <v>3.2326412609776117E-2</v>
      </c>
    </row>
    <row r="66" spans="1:58" s="91" customFormat="1" ht="12.75" x14ac:dyDescent="0.2">
      <c r="A66" s="76">
        <f>IF(ISBLANK(F66),"",COUNTA($F$6:F66))</f>
        <v>61</v>
      </c>
      <c r="B66" s="77" t="s">
        <v>60</v>
      </c>
      <c r="C66" s="77" t="s">
        <v>61</v>
      </c>
      <c r="D66" s="55"/>
      <c r="E66" s="79" t="s">
        <v>64</v>
      </c>
      <c r="F66" s="80">
        <v>46285</v>
      </c>
      <c r="G66" s="81" t="s">
        <v>59</v>
      </c>
      <c r="H66" s="81">
        <v>58</v>
      </c>
      <c r="I66" s="81">
        <v>2</v>
      </c>
      <c r="J66" s="81" t="s">
        <v>64</v>
      </c>
      <c r="K66" s="82">
        <v>162004455</v>
      </c>
      <c r="L66" s="83">
        <v>46286</v>
      </c>
      <c r="M66" s="84">
        <v>46287</v>
      </c>
      <c r="N66" s="85">
        <v>16740</v>
      </c>
      <c r="O66" s="63"/>
      <c r="P66" s="63"/>
      <c r="Q66" s="63"/>
      <c r="R66" s="46">
        <v>5068.67</v>
      </c>
      <c r="S66" s="46">
        <v>1164.27</v>
      </c>
      <c r="T66" s="46">
        <f t="shared" ref="T66:T78" si="63">+R66-S66</f>
        <v>3904.4</v>
      </c>
      <c r="U66" s="46">
        <v>3913.8</v>
      </c>
      <c r="V66" s="46"/>
      <c r="W66" s="46"/>
      <c r="X66" s="46">
        <v>3832</v>
      </c>
      <c r="Y66" s="64"/>
      <c r="Z66" s="46">
        <f>+T66-X66</f>
        <v>72.400000000000091</v>
      </c>
      <c r="AA66" s="39">
        <f>Z66/T66</f>
        <v>1.8543182051019385E-2</v>
      </c>
      <c r="AB66" s="73">
        <v>3904.35</v>
      </c>
      <c r="AC66" s="73"/>
      <c r="AD66" s="66"/>
      <c r="AE66" s="65"/>
      <c r="AF66" s="67"/>
      <c r="AG66" s="67"/>
      <c r="AH66" s="68"/>
      <c r="AI66" s="68">
        <f t="shared" ref="AI66:AI78" si="64">+AG66+AH66</f>
        <v>0</v>
      </c>
      <c r="AJ66" s="69"/>
      <c r="AK66" s="69"/>
      <c r="AL66" s="69"/>
      <c r="AM66" s="70"/>
      <c r="AN66" s="70"/>
      <c r="AO66" s="70"/>
      <c r="AP66" s="71">
        <f t="shared" ref="AP66:AP78" si="65">ROUNDUP((AO66-AM66+(AO66&lt;AM66))*24,0)</f>
        <v>0</v>
      </c>
      <c r="AQ66" s="69">
        <f t="shared" ref="AQ66:AQ78" si="66">IF(AP66&gt;5,(AP66-5),0)</f>
        <v>0</v>
      </c>
      <c r="AR66" s="69">
        <f t="shared" ref="AR66:AR78" si="67">+AQ66*8850</f>
        <v>0</v>
      </c>
      <c r="AS66" s="69"/>
      <c r="AT66" s="69"/>
      <c r="AU66" s="69"/>
      <c r="AV66" s="69"/>
      <c r="AW66" s="69"/>
      <c r="AX66" s="69"/>
      <c r="AY66" s="69"/>
      <c r="AZ66" s="90"/>
      <c r="BB66" s="92">
        <f>IF(AND(AB66="",AC66=""),T66,IF(AC66="",AB66,AC66))</f>
        <v>3904.35</v>
      </c>
      <c r="BC66" s="92">
        <f>+X66</f>
        <v>3832</v>
      </c>
      <c r="BD66" s="45"/>
      <c r="BE66" s="92">
        <f t="shared" ref="BE66:BE78" si="68">+BB66-BC66</f>
        <v>72.349999999999909</v>
      </c>
      <c r="BF66" s="39">
        <f t="shared" ref="BF66:BF78" si="69">+BE66/BB66</f>
        <v>1.8530613290304383E-2</v>
      </c>
    </row>
    <row r="67" spans="1:58" s="20" customFormat="1" ht="12.75" x14ac:dyDescent="0.2">
      <c r="A67" s="53">
        <f>IF(ISBLANK(F67),"",COUNTA($F$6:F67))</f>
        <v>62</v>
      </c>
      <c r="B67" s="54" t="s">
        <v>60</v>
      </c>
      <c r="C67" s="54" t="s">
        <v>61</v>
      </c>
      <c r="D67" s="55"/>
      <c r="E67" s="56" t="s">
        <v>65</v>
      </c>
      <c r="F67" s="57">
        <v>46286</v>
      </c>
      <c r="G67" s="58" t="s">
        <v>59</v>
      </c>
      <c r="H67" s="58">
        <v>58</v>
      </c>
      <c r="I67" s="58">
        <v>3</v>
      </c>
      <c r="J67" s="58" t="s">
        <v>67</v>
      </c>
      <c r="K67" s="59">
        <v>162011786</v>
      </c>
      <c r="L67" s="60">
        <v>46286</v>
      </c>
      <c r="M67" s="61"/>
      <c r="N67" s="62"/>
      <c r="O67" s="63"/>
      <c r="P67" s="63"/>
      <c r="Q67" s="63"/>
      <c r="R67" s="64"/>
      <c r="S67" s="64"/>
      <c r="T67" s="64">
        <f t="shared" si="63"/>
        <v>0</v>
      </c>
      <c r="U67" s="64"/>
      <c r="V67" s="64"/>
      <c r="W67" s="64"/>
      <c r="X67" s="64"/>
      <c r="Y67" s="64"/>
      <c r="Z67" s="64">
        <f>+T67-X67</f>
        <v>0</v>
      </c>
      <c r="AA67" s="65" t="e">
        <f>Z67/T67</f>
        <v>#DIV/0!</v>
      </c>
      <c r="AB67" s="66"/>
      <c r="AC67" s="66"/>
      <c r="AD67" s="66"/>
      <c r="AE67" s="65"/>
      <c r="AF67" s="67"/>
      <c r="AG67" s="67"/>
      <c r="AH67" s="68"/>
      <c r="AI67" s="68">
        <f t="shared" si="64"/>
        <v>0</v>
      </c>
      <c r="AJ67" s="69"/>
      <c r="AK67" s="69"/>
      <c r="AL67" s="69"/>
      <c r="AM67" s="70"/>
      <c r="AN67" s="70"/>
      <c r="AO67" s="70"/>
      <c r="AP67" s="71">
        <f t="shared" si="65"/>
        <v>0</v>
      </c>
      <c r="AQ67" s="69">
        <f t="shared" si="66"/>
        <v>0</v>
      </c>
      <c r="AR67" s="69">
        <f t="shared" si="67"/>
        <v>0</v>
      </c>
      <c r="AS67" s="69"/>
      <c r="AT67" s="69"/>
      <c r="AU67" s="69"/>
      <c r="AV67" s="69"/>
      <c r="AW67" s="69"/>
      <c r="AX67" s="69"/>
      <c r="AY67" s="69"/>
      <c r="AZ67" s="72"/>
      <c r="BB67" s="45">
        <f>IF(AND(AB67="",AC67=""),T67,IF(AC67="",AB67,AC67))</f>
        <v>0</v>
      </c>
      <c r="BC67" s="45">
        <f>+X67</f>
        <v>0</v>
      </c>
      <c r="BD67" s="45"/>
      <c r="BE67" s="45">
        <f t="shared" si="68"/>
        <v>0</v>
      </c>
      <c r="BF67" s="39" t="e">
        <f t="shared" si="69"/>
        <v>#DIV/0!</v>
      </c>
    </row>
    <row r="68" spans="1:58" s="91" customFormat="1" ht="12.75" x14ac:dyDescent="0.2">
      <c r="A68" s="76">
        <f>IF(ISBLANK(F68),"",COUNTA($F$6:F68))</f>
        <v>63</v>
      </c>
      <c r="B68" s="77" t="s">
        <v>60</v>
      </c>
      <c r="C68" s="77" t="s">
        <v>61</v>
      </c>
      <c r="D68" s="55"/>
      <c r="E68" s="79" t="s">
        <v>66</v>
      </c>
      <c r="F68" s="80">
        <v>46286</v>
      </c>
      <c r="G68" s="81" t="s">
        <v>59</v>
      </c>
      <c r="H68" s="81">
        <v>58</v>
      </c>
      <c r="I68" s="81">
        <v>2</v>
      </c>
      <c r="J68" s="81" t="s">
        <v>66</v>
      </c>
      <c r="K68" s="82">
        <v>162003268</v>
      </c>
      <c r="L68" s="83">
        <v>46286</v>
      </c>
      <c r="M68" s="84">
        <v>46288</v>
      </c>
      <c r="N68" s="85">
        <v>16745</v>
      </c>
      <c r="O68" s="63"/>
      <c r="P68" s="63"/>
      <c r="Q68" s="63"/>
      <c r="R68" s="46">
        <v>5080.2299999999996</v>
      </c>
      <c r="S68" s="46">
        <v>1163.0299999999997</v>
      </c>
      <c r="T68" s="46">
        <f t="shared" si="63"/>
        <v>3917.2</v>
      </c>
      <c r="U68" s="46">
        <v>3917.4</v>
      </c>
      <c r="V68" s="46"/>
      <c r="W68" s="46"/>
      <c r="X68" s="46">
        <v>3917.2</v>
      </c>
      <c r="Y68" s="64"/>
      <c r="Z68" s="46">
        <f>+T68-X68</f>
        <v>0</v>
      </c>
      <c r="AA68" s="39">
        <f>Z68/T68</f>
        <v>0</v>
      </c>
      <c r="AB68" s="73">
        <v>3917.24</v>
      </c>
      <c r="AC68" s="73"/>
      <c r="AD68" s="66"/>
      <c r="AE68" s="65"/>
      <c r="AF68" s="67"/>
      <c r="AG68" s="67"/>
      <c r="AH68" s="68"/>
      <c r="AI68" s="68">
        <f t="shared" si="64"/>
        <v>0</v>
      </c>
      <c r="AJ68" s="69"/>
      <c r="AK68" s="69"/>
      <c r="AL68" s="69"/>
      <c r="AM68" s="70"/>
      <c r="AN68" s="70"/>
      <c r="AO68" s="70"/>
      <c r="AP68" s="71">
        <f t="shared" si="65"/>
        <v>0</v>
      </c>
      <c r="AQ68" s="69">
        <f t="shared" si="66"/>
        <v>0</v>
      </c>
      <c r="AR68" s="69">
        <f t="shared" si="67"/>
        <v>0</v>
      </c>
      <c r="AS68" s="69"/>
      <c r="AT68" s="69"/>
      <c r="AU68" s="69"/>
      <c r="AV68" s="69"/>
      <c r="AW68" s="69"/>
      <c r="AX68" s="69"/>
      <c r="AY68" s="69"/>
      <c r="AZ68" s="90"/>
      <c r="BB68" s="92">
        <f>IF(AND(AB68="",AC68=""),T68,IF(AC68="",AB68,AC68))</f>
        <v>3917.24</v>
      </c>
      <c r="BC68" s="92">
        <f>+X68</f>
        <v>3917.2</v>
      </c>
      <c r="BD68" s="45"/>
      <c r="BE68" s="92">
        <f t="shared" si="68"/>
        <v>3.999999999996362E-2</v>
      </c>
      <c r="BF68" s="39">
        <f t="shared" si="69"/>
        <v>1.0211271201142545E-5</v>
      </c>
    </row>
    <row r="69" spans="1:58" s="20" customFormat="1" ht="12.75" x14ac:dyDescent="0.2">
      <c r="A69" s="53">
        <f>IF(ISBLANK(F69),"",COUNTA($F$6:F69))</f>
        <v>64</v>
      </c>
      <c r="B69" s="54" t="s">
        <v>60</v>
      </c>
      <c r="C69" s="54" t="s">
        <v>61</v>
      </c>
      <c r="D69" s="55"/>
      <c r="E69" s="56" t="s">
        <v>68</v>
      </c>
      <c r="F69" s="57">
        <v>46286</v>
      </c>
      <c r="G69" s="58" t="s">
        <v>59</v>
      </c>
      <c r="H69" s="58">
        <v>59</v>
      </c>
      <c r="I69" s="58">
        <v>1</v>
      </c>
      <c r="J69" s="58" t="s">
        <v>68</v>
      </c>
      <c r="K69" s="59">
        <v>162001499</v>
      </c>
      <c r="L69" s="60">
        <v>46286</v>
      </c>
      <c r="M69" s="61"/>
      <c r="N69" s="62"/>
      <c r="O69" s="63"/>
      <c r="P69" s="63"/>
      <c r="Q69" s="63"/>
      <c r="R69" s="64"/>
      <c r="S69" s="64"/>
      <c r="T69" s="64">
        <f t="shared" ref="T69:T77" si="70">+R69-S69</f>
        <v>0</v>
      </c>
      <c r="U69" s="64"/>
      <c r="V69" s="64"/>
      <c r="W69" s="64"/>
      <c r="X69" s="64"/>
      <c r="Y69" s="64"/>
      <c r="Z69" s="64">
        <f>+T69-X69</f>
        <v>0</v>
      </c>
      <c r="AA69" s="65" t="e">
        <f>Z69/T69</f>
        <v>#DIV/0!</v>
      </c>
      <c r="AB69" s="66"/>
      <c r="AC69" s="66"/>
      <c r="AD69" s="66"/>
      <c r="AE69" s="65"/>
      <c r="AF69" s="67"/>
      <c r="AG69" s="67"/>
      <c r="AH69" s="68"/>
      <c r="AI69" s="68">
        <f t="shared" ref="AI69:AI77" si="71">+AG69+AH69</f>
        <v>0</v>
      </c>
      <c r="AJ69" s="69"/>
      <c r="AK69" s="69"/>
      <c r="AL69" s="69"/>
      <c r="AM69" s="70"/>
      <c r="AN69" s="70"/>
      <c r="AO69" s="70"/>
      <c r="AP69" s="71">
        <f t="shared" ref="AP69:AP77" si="72">ROUNDUP((AO69-AM69+(AO69&lt;AM69))*24,0)</f>
        <v>0</v>
      </c>
      <c r="AQ69" s="69">
        <f t="shared" ref="AQ69:AQ77" si="73">IF(AP69&gt;5,(AP69-5),0)</f>
        <v>0</v>
      </c>
      <c r="AR69" s="69">
        <f t="shared" ref="AR69:AR77" si="74">+AQ69*8850</f>
        <v>0</v>
      </c>
      <c r="AS69" s="69"/>
      <c r="AT69" s="69"/>
      <c r="AU69" s="69"/>
      <c r="AV69" s="69"/>
      <c r="AW69" s="69"/>
      <c r="AX69" s="69"/>
      <c r="AY69" s="69"/>
      <c r="AZ69" s="72"/>
      <c r="BB69" s="45">
        <f>IF(AND(AB69="",AC69=""),T69,IF(AC69="",AB69,AC69))</f>
        <v>0</v>
      </c>
      <c r="BC69" s="45">
        <f>+X69</f>
        <v>0</v>
      </c>
      <c r="BD69" s="45"/>
      <c r="BE69" s="45">
        <f t="shared" ref="BE69:BE77" si="75">+BB69-BC69</f>
        <v>0</v>
      </c>
      <c r="BF69" s="39" t="e">
        <f t="shared" ref="BF69:BF77" si="76">+BE69/BB69</f>
        <v>#DIV/0!</v>
      </c>
    </row>
    <row r="70" spans="1:58" s="91" customFormat="1" ht="12.75" x14ac:dyDescent="0.2">
      <c r="A70" s="76">
        <f>IF(ISBLANK(F70),"",COUNTA($F$6:F70))</f>
        <v>65</v>
      </c>
      <c r="B70" s="77" t="s">
        <v>60</v>
      </c>
      <c r="C70" s="77" t="s">
        <v>61</v>
      </c>
      <c r="D70" s="55"/>
      <c r="E70" s="79" t="s">
        <v>65</v>
      </c>
      <c r="F70" s="80">
        <v>46286</v>
      </c>
      <c r="G70" s="81" t="s">
        <v>59</v>
      </c>
      <c r="H70" s="81">
        <v>58</v>
      </c>
      <c r="I70" s="81">
        <v>10</v>
      </c>
      <c r="J70" s="81" t="s">
        <v>67</v>
      </c>
      <c r="K70" s="82">
        <v>162011788</v>
      </c>
      <c r="L70" s="83">
        <v>46287</v>
      </c>
      <c r="M70" s="84">
        <v>46289</v>
      </c>
      <c r="N70" s="85">
        <v>16750</v>
      </c>
      <c r="O70" s="63"/>
      <c r="P70" s="63"/>
      <c r="Q70" s="63"/>
      <c r="R70" s="46">
        <v>4273.6000000000004</v>
      </c>
      <c r="S70" s="46">
        <v>1012.4000000000005</v>
      </c>
      <c r="T70" s="46">
        <f t="shared" si="70"/>
        <v>3261.2</v>
      </c>
      <c r="U70" s="46">
        <v>3359</v>
      </c>
      <c r="V70" s="46"/>
      <c r="W70" s="46"/>
      <c r="X70" s="46">
        <v>3261.2</v>
      </c>
      <c r="Y70" s="64"/>
      <c r="Z70" s="46">
        <f>+T70-X70</f>
        <v>0</v>
      </c>
      <c r="AA70" s="39">
        <f>Z70/T70</f>
        <v>0</v>
      </c>
      <c r="AB70" s="73">
        <v>3330.61</v>
      </c>
      <c r="AC70" s="73"/>
      <c r="AD70" s="66"/>
      <c r="AE70" s="65"/>
      <c r="AF70" s="67"/>
      <c r="AG70" s="67"/>
      <c r="AH70" s="68"/>
      <c r="AI70" s="68">
        <f t="shared" si="71"/>
        <v>0</v>
      </c>
      <c r="AJ70" s="69"/>
      <c r="AK70" s="69"/>
      <c r="AL70" s="69"/>
      <c r="AM70" s="70"/>
      <c r="AN70" s="70"/>
      <c r="AO70" s="70"/>
      <c r="AP70" s="71">
        <f t="shared" si="72"/>
        <v>0</v>
      </c>
      <c r="AQ70" s="69">
        <f t="shared" si="73"/>
        <v>0</v>
      </c>
      <c r="AR70" s="69">
        <f t="shared" si="74"/>
        <v>0</v>
      </c>
      <c r="AS70" s="69"/>
      <c r="AT70" s="69"/>
      <c r="AU70" s="69"/>
      <c r="AV70" s="69"/>
      <c r="AW70" s="69"/>
      <c r="AX70" s="69"/>
      <c r="AY70" s="69"/>
      <c r="AZ70" s="90"/>
      <c r="BB70" s="92">
        <f>IF(AND(AB70="",AC70=""),T70,IF(AC70="",AB70,AC70))</f>
        <v>3330.61</v>
      </c>
      <c r="BC70" s="92">
        <f>+X70</f>
        <v>3261.2</v>
      </c>
      <c r="BD70" s="45"/>
      <c r="BE70" s="92">
        <f t="shared" si="75"/>
        <v>69.410000000000309</v>
      </c>
      <c r="BF70" s="39">
        <f t="shared" si="76"/>
        <v>2.0840026301488408E-2</v>
      </c>
    </row>
    <row r="71" spans="1:58" s="91" customFormat="1" ht="12.75" x14ac:dyDescent="0.2">
      <c r="A71" s="76">
        <f>IF(ISBLANK(F71),"",COUNTA($F$6:F71))</f>
        <v>66</v>
      </c>
      <c r="B71" s="77" t="s">
        <v>60</v>
      </c>
      <c r="C71" s="77" t="s">
        <v>61</v>
      </c>
      <c r="D71" s="55"/>
      <c r="E71" s="79" t="s">
        <v>63</v>
      </c>
      <c r="F71" s="80">
        <v>46287</v>
      </c>
      <c r="G71" s="81" t="s">
        <v>69</v>
      </c>
      <c r="H71" s="81">
        <v>59</v>
      </c>
      <c r="I71" s="81">
        <v>0</v>
      </c>
      <c r="J71" s="81" t="s">
        <v>63</v>
      </c>
      <c r="K71" s="82">
        <v>162006580</v>
      </c>
      <c r="L71" s="83">
        <v>46287</v>
      </c>
      <c r="M71" s="84">
        <v>46289</v>
      </c>
      <c r="N71" s="85">
        <v>16749</v>
      </c>
      <c r="O71" s="63"/>
      <c r="P71" s="63"/>
      <c r="Q71" s="63"/>
      <c r="R71" s="46">
        <v>5323.2</v>
      </c>
      <c r="S71" s="46">
        <v>1171.0999999999995</v>
      </c>
      <c r="T71" s="46">
        <f t="shared" si="70"/>
        <v>4152.1000000000004</v>
      </c>
      <c r="U71" s="46">
        <v>4173</v>
      </c>
      <c r="V71" s="46"/>
      <c r="W71" s="46"/>
      <c r="X71" s="46">
        <v>4152.1000000000004</v>
      </c>
      <c r="Y71" s="64"/>
      <c r="Z71" s="46">
        <f>+T71-X71</f>
        <v>0</v>
      </c>
      <c r="AA71" s="39">
        <f>Z71/T71</f>
        <v>0</v>
      </c>
      <c r="AB71" s="73">
        <v>4152.05</v>
      </c>
      <c r="AC71" s="73"/>
      <c r="AD71" s="66"/>
      <c r="AE71" s="65"/>
      <c r="AF71" s="67"/>
      <c r="AG71" s="67"/>
      <c r="AH71" s="68"/>
      <c r="AI71" s="68">
        <f t="shared" si="71"/>
        <v>0</v>
      </c>
      <c r="AJ71" s="69"/>
      <c r="AK71" s="69"/>
      <c r="AL71" s="69"/>
      <c r="AM71" s="70"/>
      <c r="AN71" s="70"/>
      <c r="AO71" s="70"/>
      <c r="AP71" s="71">
        <f t="shared" si="72"/>
        <v>0</v>
      </c>
      <c r="AQ71" s="69">
        <f t="shared" si="73"/>
        <v>0</v>
      </c>
      <c r="AR71" s="69">
        <f t="shared" si="74"/>
        <v>0</v>
      </c>
      <c r="AS71" s="69"/>
      <c r="AT71" s="69"/>
      <c r="AU71" s="69"/>
      <c r="AV71" s="69"/>
      <c r="AW71" s="69"/>
      <c r="AX71" s="69"/>
      <c r="AY71" s="69"/>
      <c r="AZ71" s="90"/>
      <c r="BB71" s="92">
        <f>IF(AND(AB71="",AC71=""),T71,IF(AC71="",AB71,AC71))</f>
        <v>4152.05</v>
      </c>
      <c r="BC71" s="92">
        <f>+X71</f>
        <v>4152.1000000000004</v>
      </c>
      <c r="BD71" s="45"/>
      <c r="BE71" s="92">
        <f t="shared" si="75"/>
        <v>-5.0000000000181899E-2</v>
      </c>
      <c r="BF71" s="39">
        <f t="shared" si="76"/>
        <v>-1.2042244192671547E-5</v>
      </c>
    </row>
    <row r="72" spans="1:58" s="91" customFormat="1" ht="12.75" x14ac:dyDescent="0.2">
      <c r="A72" s="76">
        <f>IF(ISBLANK(F72),"",COUNTA($F$6:F72))</f>
        <v>67</v>
      </c>
      <c r="B72" s="77" t="s">
        <v>60</v>
      </c>
      <c r="C72" s="77" t="s">
        <v>61</v>
      </c>
      <c r="D72" s="55"/>
      <c r="E72" s="79" t="s">
        <v>65</v>
      </c>
      <c r="F72" s="80">
        <v>46287</v>
      </c>
      <c r="G72" s="81" t="s">
        <v>59</v>
      </c>
      <c r="H72" s="81">
        <v>58</v>
      </c>
      <c r="I72" s="81">
        <v>3</v>
      </c>
      <c r="J72" s="81" t="s">
        <v>67</v>
      </c>
      <c r="K72" s="82">
        <v>162011789</v>
      </c>
      <c r="L72" s="83">
        <v>46287</v>
      </c>
      <c r="M72" s="84">
        <v>46289</v>
      </c>
      <c r="N72" s="85">
        <v>16751</v>
      </c>
      <c r="O72" s="63"/>
      <c r="P72" s="63"/>
      <c r="Q72" s="63"/>
      <c r="R72" s="46">
        <v>4988</v>
      </c>
      <c r="S72" s="46">
        <v>1151.4000000000001</v>
      </c>
      <c r="T72" s="46">
        <f t="shared" si="70"/>
        <v>3836.6</v>
      </c>
      <c r="U72" s="46">
        <v>3864.8</v>
      </c>
      <c r="V72" s="46"/>
      <c r="W72" s="46"/>
      <c r="X72" s="46">
        <v>3836.6</v>
      </c>
      <c r="Y72" s="64"/>
      <c r="Z72" s="46">
        <f>+T72-X72</f>
        <v>0</v>
      </c>
      <c r="AA72" s="39">
        <f>Z72/T72</f>
        <v>0</v>
      </c>
      <c r="AB72" s="73">
        <v>3876.29</v>
      </c>
      <c r="AC72" s="73"/>
      <c r="AD72" s="66"/>
      <c r="AE72" s="65"/>
      <c r="AF72" s="67"/>
      <c r="AG72" s="67"/>
      <c r="AH72" s="68"/>
      <c r="AI72" s="68">
        <f t="shared" si="71"/>
        <v>0</v>
      </c>
      <c r="AJ72" s="69"/>
      <c r="AK72" s="69"/>
      <c r="AL72" s="69"/>
      <c r="AM72" s="70"/>
      <c r="AN72" s="70"/>
      <c r="AO72" s="70"/>
      <c r="AP72" s="71">
        <f t="shared" si="72"/>
        <v>0</v>
      </c>
      <c r="AQ72" s="69">
        <f t="shared" si="73"/>
        <v>0</v>
      </c>
      <c r="AR72" s="69">
        <f t="shared" si="74"/>
        <v>0</v>
      </c>
      <c r="AS72" s="69"/>
      <c r="AT72" s="69"/>
      <c r="AU72" s="69"/>
      <c r="AV72" s="69"/>
      <c r="AW72" s="69"/>
      <c r="AX72" s="69"/>
      <c r="AY72" s="69"/>
      <c r="AZ72" s="90"/>
      <c r="BB72" s="92">
        <f>IF(AND(AB72="",AC72=""),T72,IF(AC72="",AB72,AC72))</f>
        <v>3876.29</v>
      </c>
      <c r="BC72" s="92">
        <f>+X72</f>
        <v>3836.6</v>
      </c>
      <c r="BD72" s="45"/>
      <c r="BE72" s="92">
        <f t="shared" si="75"/>
        <v>39.690000000000055</v>
      </c>
      <c r="BF72" s="39">
        <f t="shared" si="76"/>
        <v>1.0239171991775655E-2</v>
      </c>
    </row>
    <row r="73" spans="1:58" s="20" customFormat="1" ht="12.75" x14ac:dyDescent="0.2">
      <c r="A73" s="53">
        <f>IF(ISBLANK(F73),"",COUNTA($F$6:F73))</f>
        <v>68</v>
      </c>
      <c r="B73" s="54" t="s">
        <v>60</v>
      </c>
      <c r="C73" s="54" t="s">
        <v>61</v>
      </c>
      <c r="D73" s="55"/>
      <c r="E73" s="56" t="s">
        <v>65</v>
      </c>
      <c r="F73" s="57">
        <v>46288</v>
      </c>
      <c r="G73" s="58" t="s">
        <v>59</v>
      </c>
      <c r="H73" s="58">
        <v>59</v>
      </c>
      <c r="I73" s="58">
        <v>2</v>
      </c>
      <c r="J73" s="58" t="s">
        <v>67</v>
      </c>
      <c r="K73" s="59">
        <v>162011793</v>
      </c>
      <c r="L73" s="60">
        <v>46288</v>
      </c>
      <c r="M73" s="61"/>
      <c r="N73" s="62"/>
      <c r="O73" s="63"/>
      <c r="P73" s="63"/>
      <c r="Q73" s="63"/>
      <c r="R73" s="64"/>
      <c r="S73" s="64"/>
      <c r="T73" s="64">
        <f t="shared" si="70"/>
        <v>0</v>
      </c>
      <c r="U73" s="64"/>
      <c r="V73" s="64"/>
      <c r="W73" s="64"/>
      <c r="X73" s="64"/>
      <c r="Y73" s="64"/>
      <c r="Z73" s="64">
        <f>+T73-X73</f>
        <v>0</v>
      </c>
      <c r="AA73" s="65" t="e">
        <f>Z73/T73</f>
        <v>#DIV/0!</v>
      </c>
      <c r="AB73" s="66"/>
      <c r="AC73" s="66"/>
      <c r="AD73" s="66"/>
      <c r="AE73" s="65"/>
      <c r="AF73" s="67"/>
      <c r="AG73" s="67"/>
      <c r="AH73" s="68"/>
      <c r="AI73" s="68">
        <f t="shared" si="71"/>
        <v>0</v>
      </c>
      <c r="AJ73" s="69"/>
      <c r="AK73" s="69"/>
      <c r="AL73" s="69"/>
      <c r="AM73" s="70"/>
      <c r="AN73" s="70"/>
      <c r="AO73" s="70"/>
      <c r="AP73" s="71">
        <f t="shared" si="72"/>
        <v>0</v>
      </c>
      <c r="AQ73" s="69">
        <f t="shared" si="73"/>
        <v>0</v>
      </c>
      <c r="AR73" s="69">
        <f t="shared" si="74"/>
        <v>0</v>
      </c>
      <c r="AS73" s="69"/>
      <c r="AT73" s="69"/>
      <c r="AU73" s="69"/>
      <c r="AV73" s="69"/>
      <c r="AW73" s="69"/>
      <c r="AX73" s="69"/>
      <c r="AY73" s="69"/>
      <c r="AZ73" s="72"/>
      <c r="BB73" s="45">
        <f>IF(AND(AB73="",AC73=""),T73,IF(AC73="",AB73,AC73))</f>
        <v>0</v>
      </c>
      <c r="BC73" s="45">
        <f>+X73</f>
        <v>0</v>
      </c>
      <c r="BD73" s="45"/>
      <c r="BE73" s="45">
        <f t="shared" si="75"/>
        <v>0</v>
      </c>
      <c r="BF73" s="39" t="e">
        <f t="shared" si="76"/>
        <v>#DIV/0!</v>
      </c>
    </row>
    <row r="74" spans="1:58" s="20" customFormat="1" ht="12.75" x14ac:dyDescent="0.2">
      <c r="A74" s="53">
        <f>IF(ISBLANK(F74),"",COUNTA($F$6:F74))</f>
        <v>69</v>
      </c>
      <c r="B74" s="54" t="s">
        <v>60</v>
      </c>
      <c r="C74" s="54" t="s">
        <v>61</v>
      </c>
      <c r="D74" s="55"/>
      <c r="E74" s="56" t="s">
        <v>65</v>
      </c>
      <c r="F74" s="57">
        <v>46288</v>
      </c>
      <c r="G74" s="58" t="s">
        <v>59</v>
      </c>
      <c r="H74" s="58">
        <v>59</v>
      </c>
      <c r="I74" s="58">
        <v>1</v>
      </c>
      <c r="J74" s="58" t="s">
        <v>67</v>
      </c>
      <c r="K74" s="59">
        <v>162011794</v>
      </c>
      <c r="L74" s="60">
        <v>46289</v>
      </c>
      <c r="M74" s="61"/>
      <c r="N74" s="62"/>
      <c r="O74" s="63"/>
      <c r="P74" s="63"/>
      <c r="Q74" s="63"/>
      <c r="R74" s="64"/>
      <c r="S74" s="64"/>
      <c r="T74" s="64">
        <f t="shared" si="70"/>
        <v>0</v>
      </c>
      <c r="U74" s="64"/>
      <c r="V74" s="64"/>
      <c r="W74" s="64"/>
      <c r="X74" s="64"/>
      <c r="Y74" s="64"/>
      <c r="Z74" s="64">
        <f>+T74-X74</f>
        <v>0</v>
      </c>
      <c r="AA74" s="65" t="e">
        <f>Z74/T74</f>
        <v>#DIV/0!</v>
      </c>
      <c r="AB74" s="66"/>
      <c r="AC74" s="66"/>
      <c r="AD74" s="66"/>
      <c r="AE74" s="65"/>
      <c r="AF74" s="67"/>
      <c r="AG74" s="67"/>
      <c r="AH74" s="68"/>
      <c r="AI74" s="68">
        <f t="shared" si="71"/>
        <v>0</v>
      </c>
      <c r="AJ74" s="69"/>
      <c r="AK74" s="69"/>
      <c r="AL74" s="69"/>
      <c r="AM74" s="70"/>
      <c r="AN74" s="70"/>
      <c r="AO74" s="70"/>
      <c r="AP74" s="71">
        <f t="shared" si="72"/>
        <v>0</v>
      </c>
      <c r="AQ74" s="69">
        <f t="shared" si="73"/>
        <v>0</v>
      </c>
      <c r="AR74" s="69">
        <f t="shared" si="74"/>
        <v>0</v>
      </c>
      <c r="AS74" s="69"/>
      <c r="AT74" s="69"/>
      <c r="AU74" s="69"/>
      <c r="AV74" s="69"/>
      <c r="AW74" s="69"/>
      <c r="AX74" s="69"/>
      <c r="AY74" s="69"/>
      <c r="AZ74" s="72"/>
      <c r="BB74" s="45">
        <f>IF(AND(AB74="",AC74=""),T74,IF(AC74="",AB74,AC74))</f>
        <v>0</v>
      </c>
      <c r="BC74" s="45">
        <f>+X74</f>
        <v>0</v>
      </c>
      <c r="BD74" s="45"/>
      <c r="BE74" s="45">
        <f t="shared" si="75"/>
        <v>0</v>
      </c>
      <c r="BF74" s="39" t="e">
        <f t="shared" si="76"/>
        <v>#DIV/0!</v>
      </c>
    </row>
    <row r="75" spans="1:58" s="20" customFormat="1" ht="12.75" x14ac:dyDescent="0.2">
      <c r="A75" s="53">
        <f>IF(ISBLANK(F75),"",COUNTA($F$6:F75))</f>
        <v>70</v>
      </c>
      <c r="B75" s="54" t="s">
        <v>60</v>
      </c>
      <c r="C75" s="54" t="s">
        <v>61</v>
      </c>
      <c r="D75" s="55"/>
      <c r="E75" s="56" t="s">
        <v>63</v>
      </c>
      <c r="F75" s="57">
        <v>46288</v>
      </c>
      <c r="G75" s="58" t="s">
        <v>59</v>
      </c>
      <c r="H75" s="58">
        <v>58</v>
      </c>
      <c r="I75" s="58">
        <v>1</v>
      </c>
      <c r="J75" s="58" t="s">
        <v>63</v>
      </c>
      <c r="K75" s="59">
        <v>162006593</v>
      </c>
      <c r="L75" s="60">
        <v>46289</v>
      </c>
      <c r="M75" s="61"/>
      <c r="N75" s="62"/>
      <c r="O75" s="63"/>
      <c r="P75" s="63"/>
      <c r="Q75" s="63"/>
      <c r="R75" s="64"/>
      <c r="S75" s="64"/>
      <c r="T75" s="64">
        <f t="shared" si="70"/>
        <v>0</v>
      </c>
      <c r="U75" s="64"/>
      <c r="V75" s="64"/>
      <c r="W75" s="64"/>
      <c r="X75" s="64"/>
      <c r="Y75" s="64"/>
      <c r="Z75" s="64">
        <f>+T75-X75</f>
        <v>0</v>
      </c>
      <c r="AA75" s="65" t="e">
        <f>Z75/T75</f>
        <v>#DIV/0!</v>
      </c>
      <c r="AB75" s="66"/>
      <c r="AC75" s="66"/>
      <c r="AD75" s="66"/>
      <c r="AE75" s="65"/>
      <c r="AF75" s="67"/>
      <c r="AG75" s="67"/>
      <c r="AH75" s="68"/>
      <c r="AI75" s="68">
        <f t="shared" si="71"/>
        <v>0</v>
      </c>
      <c r="AJ75" s="69"/>
      <c r="AK75" s="69"/>
      <c r="AL75" s="69"/>
      <c r="AM75" s="70"/>
      <c r="AN75" s="70"/>
      <c r="AO75" s="70"/>
      <c r="AP75" s="71">
        <f t="shared" si="72"/>
        <v>0</v>
      </c>
      <c r="AQ75" s="69">
        <f t="shared" si="73"/>
        <v>0</v>
      </c>
      <c r="AR75" s="69">
        <f t="shared" si="74"/>
        <v>0</v>
      </c>
      <c r="AS75" s="69"/>
      <c r="AT75" s="69"/>
      <c r="AU75" s="69"/>
      <c r="AV75" s="69"/>
      <c r="AW75" s="69"/>
      <c r="AX75" s="69"/>
      <c r="AY75" s="69"/>
      <c r="AZ75" s="72"/>
      <c r="BB75" s="45">
        <f>IF(AND(AB75="",AC75=""),T75,IF(AC75="",AB75,AC75))</f>
        <v>0</v>
      </c>
      <c r="BC75" s="45">
        <f>+X75</f>
        <v>0</v>
      </c>
      <c r="BD75" s="45"/>
      <c r="BE75" s="45">
        <f t="shared" si="75"/>
        <v>0</v>
      </c>
      <c r="BF75" s="39" t="e">
        <f t="shared" si="76"/>
        <v>#DIV/0!</v>
      </c>
    </row>
    <row r="76" spans="1:58" s="20" customFormat="1" ht="12.75" x14ac:dyDescent="0.2">
      <c r="A76" s="21" t="str">
        <f>IF(ISBLANK(F76),"",COUNTA($F$6:F76))</f>
        <v/>
      </c>
      <c r="B76" s="37" t="s">
        <v>60</v>
      </c>
      <c r="C76" s="37" t="s">
        <v>61</v>
      </c>
      <c r="D76" s="22"/>
      <c r="E76" s="23"/>
      <c r="F76" s="36"/>
      <c r="G76" s="24"/>
      <c r="H76" s="24"/>
      <c r="I76" s="24"/>
      <c r="J76" s="24"/>
      <c r="K76" s="25"/>
      <c r="L76" s="26"/>
      <c r="M76" s="38"/>
      <c r="N76" s="52"/>
      <c r="O76" s="27"/>
      <c r="P76" s="27"/>
      <c r="Q76" s="27"/>
      <c r="R76" s="28"/>
      <c r="S76" s="28"/>
      <c r="T76" s="46">
        <f t="shared" si="70"/>
        <v>0</v>
      </c>
      <c r="U76" s="28"/>
      <c r="V76" s="28"/>
      <c r="W76" s="28"/>
      <c r="X76" s="28"/>
      <c r="Y76" s="28"/>
      <c r="Z76" s="28">
        <f>+T76-X76</f>
        <v>0</v>
      </c>
      <c r="AA76" s="29" t="e">
        <f>Z76/T76</f>
        <v>#DIV/0!</v>
      </c>
      <c r="AB76" s="40"/>
      <c r="AC76" s="40"/>
      <c r="AD76" s="40"/>
      <c r="AE76" s="29"/>
      <c r="AF76" s="30"/>
      <c r="AG76" s="30"/>
      <c r="AH76" s="31"/>
      <c r="AI76" s="31">
        <f t="shared" si="71"/>
        <v>0</v>
      </c>
      <c r="AJ76" s="32"/>
      <c r="AK76" s="32"/>
      <c r="AL76" s="32"/>
      <c r="AM76" s="33"/>
      <c r="AN76" s="33"/>
      <c r="AO76" s="33"/>
      <c r="AP76" s="34">
        <f t="shared" si="72"/>
        <v>0</v>
      </c>
      <c r="AQ76" s="32">
        <f t="shared" si="73"/>
        <v>0</v>
      </c>
      <c r="AR76" s="32">
        <f t="shared" si="74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>IF(AND(AB76="",AC76=""),T76,IF(AC76="",AB76,AC76))</f>
        <v>0</v>
      </c>
      <c r="BC76" s="45">
        <f>+X76</f>
        <v>0</v>
      </c>
      <c r="BD76" s="45"/>
      <c r="BE76" s="45">
        <f t="shared" si="75"/>
        <v>0</v>
      </c>
      <c r="BF76" s="39" t="e">
        <f t="shared" si="76"/>
        <v>#DIV/0!</v>
      </c>
    </row>
    <row r="77" spans="1:58" s="20" customFormat="1" ht="12.75" x14ac:dyDescent="0.2">
      <c r="A77" s="21" t="str">
        <f>IF(ISBLANK(F77),"",COUNTA($F$6:F77))</f>
        <v/>
      </c>
      <c r="B77" s="37" t="s">
        <v>60</v>
      </c>
      <c r="C77" s="37" t="s">
        <v>61</v>
      </c>
      <c r="D77" s="22"/>
      <c r="E77" s="23"/>
      <c r="F77" s="36"/>
      <c r="G77" s="24"/>
      <c r="H77" s="24"/>
      <c r="I77" s="24"/>
      <c r="J77" s="24"/>
      <c r="K77" s="25"/>
      <c r="L77" s="26"/>
      <c r="M77" s="38"/>
      <c r="N77" s="52"/>
      <c r="O77" s="27"/>
      <c r="P77" s="27"/>
      <c r="Q77" s="27"/>
      <c r="R77" s="28"/>
      <c r="S77" s="28"/>
      <c r="T77" s="46">
        <f t="shared" si="70"/>
        <v>0</v>
      </c>
      <c r="U77" s="28"/>
      <c r="V77" s="28"/>
      <c r="W77" s="28"/>
      <c r="X77" s="28"/>
      <c r="Y77" s="28"/>
      <c r="Z77" s="28">
        <f>+T77-X77</f>
        <v>0</v>
      </c>
      <c r="AA77" s="29" t="e">
        <f>Z77/T77</f>
        <v>#DIV/0!</v>
      </c>
      <c r="AB77" s="40"/>
      <c r="AC77" s="40"/>
      <c r="AD77" s="40"/>
      <c r="AE77" s="29"/>
      <c r="AF77" s="30"/>
      <c r="AG77" s="30"/>
      <c r="AH77" s="31"/>
      <c r="AI77" s="31">
        <f t="shared" si="71"/>
        <v>0</v>
      </c>
      <c r="AJ77" s="32"/>
      <c r="AK77" s="32"/>
      <c r="AL77" s="32"/>
      <c r="AM77" s="33"/>
      <c r="AN77" s="33"/>
      <c r="AO77" s="33"/>
      <c r="AP77" s="34">
        <f t="shared" si="72"/>
        <v>0</v>
      </c>
      <c r="AQ77" s="32">
        <f t="shared" si="73"/>
        <v>0</v>
      </c>
      <c r="AR77" s="32">
        <f t="shared" si="74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>IF(AND(AB77="",AC77=""),T77,IF(AC77="",AB77,AC77))</f>
        <v>0</v>
      </c>
      <c r="BC77" s="45">
        <f>+X77</f>
        <v>0</v>
      </c>
      <c r="BD77" s="45"/>
      <c r="BE77" s="45">
        <f t="shared" si="75"/>
        <v>0</v>
      </c>
      <c r="BF77" s="39" t="e">
        <f t="shared" si="76"/>
        <v>#DIV/0!</v>
      </c>
    </row>
    <row r="78" spans="1:58" s="20" customFormat="1" ht="12.75" x14ac:dyDescent="0.2">
      <c r="A78" s="21" t="str">
        <f>IF(ISBLANK(F78),"",COUNTA($F$6:F78))</f>
        <v/>
      </c>
      <c r="B78" s="37" t="s">
        <v>60</v>
      </c>
      <c r="C78" s="37" t="s">
        <v>61</v>
      </c>
      <c r="D78" s="22"/>
      <c r="E78" s="23"/>
      <c r="F78" s="36"/>
      <c r="G78" s="24"/>
      <c r="H78" s="24"/>
      <c r="I78" s="24"/>
      <c r="J78" s="24"/>
      <c r="K78" s="25"/>
      <c r="L78" s="26"/>
      <c r="M78" s="38"/>
      <c r="N78" s="52"/>
      <c r="O78" s="27"/>
      <c r="P78" s="27"/>
      <c r="Q78" s="27"/>
      <c r="R78" s="28"/>
      <c r="S78" s="28"/>
      <c r="T78" s="46">
        <f t="shared" si="63"/>
        <v>0</v>
      </c>
      <c r="U78" s="28"/>
      <c r="V78" s="28"/>
      <c r="W78" s="28"/>
      <c r="X78" s="28"/>
      <c r="Y78" s="28"/>
      <c r="Z78" s="28">
        <f>+T78-X78</f>
        <v>0</v>
      </c>
      <c r="AA78" s="29" t="e">
        <f>Z78/T78</f>
        <v>#DIV/0!</v>
      </c>
      <c r="AB78" s="40"/>
      <c r="AC78" s="40"/>
      <c r="AD78" s="40"/>
      <c r="AE78" s="29"/>
      <c r="AF78" s="30"/>
      <c r="AG78" s="30"/>
      <c r="AH78" s="31"/>
      <c r="AI78" s="31">
        <f t="shared" si="64"/>
        <v>0</v>
      </c>
      <c r="AJ78" s="32"/>
      <c r="AK78" s="32"/>
      <c r="AL78" s="32"/>
      <c r="AM78" s="33"/>
      <c r="AN78" s="33"/>
      <c r="AO78" s="33"/>
      <c r="AP78" s="34">
        <f t="shared" si="65"/>
        <v>0</v>
      </c>
      <c r="AQ78" s="32">
        <f t="shared" si="66"/>
        <v>0</v>
      </c>
      <c r="AR78" s="32">
        <f t="shared" si="67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>IF(AND(AB78="",AC78=""),T78,IF(AC78="",AB78,AC78))</f>
        <v>0</v>
      </c>
      <c r="BC78" s="45">
        <f>+X78</f>
        <v>0</v>
      </c>
      <c r="BD78" s="45"/>
      <c r="BE78" s="45">
        <f t="shared" si="68"/>
        <v>0</v>
      </c>
      <c r="BF78" s="39" t="e">
        <f t="shared" si="69"/>
        <v>#DIV/0!</v>
      </c>
    </row>
    <row r="79" spans="1:58" s="20" customFormat="1" ht="12.75" x14ac:dyDescent="0.2">
      <c r="A79" s="21" t="str">
        <f>IF(ISBLANK(F79),"",COUNTA($F$6:F79))</f>
        <v/>
      </c>
      <c r="B79" s="37" t="s">
        <v>60</v>
      </c>
      <c r="C79" s="37" t="s">
        <v>61</v>
      </c>
      <c r="D79" s="22"/>
      <c r="E79" s="23"/>
      <c r="F79" s="36"/>
      <c r="G79" s="24"/>
      <c r="H79" s="24"/>
      <c r="I79" s="24"/>
      <c r="J79" s="24"/>
      <c r="K79" s="25"/>
      <c r="L79" s="26"/>
      <c r="M79" s="38"/>
      <c r="N79" s="52"/>
      <c r="O79" s="27"/>
      <c r="P79" s="27"/>
      <c r="Q79" s="27"/>
      <c r="R79" s="28"/>
      <c r="S79" s="28"/>
      <c r="T79" s="46">
        <f t="shared" si="56"/>
        <v>0</v>
      </c>
      <c r="U79" s="28"/>
      <c r="V79" s="28"/>
      <c r="W79" s="28"/>
      <c r="X79" s="28"/>
      <c r="Y79" s="28"/>
      <c r="Z79" s="28">
        <f>+T79-X79</f>
        <v>0</v>
      </c>
      <c r="AA79" s="29" t="e">
        <f>Z79/T79</f>
        <v>#DIV/0!</v>
      </c>
      <c r="AB79" s="40"/>
      <c r="AC79" s="40"/>
      <c r="AD79" s="40"/>
      <c r="AE79" s="29"/>
      <c r="AF79" s="30"/>
      <c r="AG79" s="30"/>
      <c r="AH79" s="31"/>
      <c r="AI79" s="31">
        <f t="shared" si="57"/>
        <v>0</v>
      </c>
      <c r="AJ79" s="32"/>
      <c r="AK79" s="32"/>
      <c r="AL79" s="32"/>
      <c r="AM79" s="33"/>
      <c r="AN79" s="33"/>
      <c r="AO79" s="33"/>
      <c r="AP79" s="34">
        <f t="shared" si="58"/>
        <v>0</v>
      </c>
      <c r="AQ79" s="32">
        <f t="shared" si="59"/>
        <v>0</v>
      </c>
      <c r="AR79" s="32">
        <f t="shared" si="60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>IF(AND(AB79="",AC79=""),T79,IF(AC79="",AB79,AC79))</f>
        <v>0</v>
      </c>
      <c r="BC79" s="45">
        <f>+X79</f>
        <v>0</v>
      </c>
      <c r="BD79" s="45"/>
      <c r="BE79" s="45">
        <f t="shared" si="61"/>
        <v>0</v>
      </c>
      <c r="BF79" s="39" t="e">
        <f t="shared" si="62"/>
        <v>#DIV/0!</v>
      </c>
    </row>
    <row r="80" spans="1:58" s="20" customFormat="1" ht="12.75" x14ac:dyDescent="0.2">
      <c r="A80" s="21" t="str">
        <f>IF(ISBLANK(F80),"",COUNTA($F$6:F80))</f>
        <v/>
      </c>
      <c r="B80" s="37" t="s">
        <v>60</v>
      </c>
      <c r="C80" s="37" t="s">
        <v>61</v>
      </c>
      <c r="D80" s="22"/>
      <c r="E80" s="23"/>
      <c r="F80" s="36"/>
      <c r="G80" s="24"/>
      <c r="H80" s="24"/>
      <c r="I80" s="24"/>
      <c r="J80" s="24"/>
      <c r="K80" s="25"/>
      <c r="L80" s="26"/>
      <c r="M80" s="38"/>
      <c r="N80" s="52"/>
      <c r="O80" s="27"/>
      <c r="P80" s="27"/>
      <c r="Q80" s="27"/>
      <c r="R80" s="28"/>
      <c r="S80" s="28"/>
      <c r="T80" s="46">
        <f t="shared" si="56"/>
        <v>0</v>
      </c>
      <c r="U80" s="28"/>
      <c r="V80" s="28"/>
      <c r="W80" s="28"/>
      <c r="X80" s="28"/>
      <c r="Y80" s="28"/>
      <c r="Z80" s="28">
        <f>+T80-X80</f>
        <v>0</v>
      </c>
      <c r="AA80" s="29" t="e">
        <f>Z80/T80</f>
        <v>#DIV/0!</v>
      </c>
      <c r="AB80" s="40"/>
      <c r="AC80" s="40"/>
      <c r="AD80" s="40"/>
      <c r="AE80" s="29"/>
      <c r="AF80" s="30"/>
      <c r="AG80" s="30"/>
      <c r="AH80" s="31"/>
      <c r="AI80" s="31">
        <f t="shared" si="57"/>
        <v>0</v>
      </c>
      <c r="AJ80" s="32"/>
      <c r="AK80" s="32"/>
      <c r="AL80" s="32"/>
      <c r="AM80" s="33"/>
      <c r="AN80" s="33"/>
      <c r="AO80" s="33"/>
      <c r="AP80" s="34">
        <f t="shared" si="58"/>
        <v>0</v>
      </c>
      <c r="AQ80" s="32">
        <f t="shared" si="59"/>
        <v>0</v>
      </c>
      <c r="AR80" s="32">
        <f t="shared" si="60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>IF(AND(AB80="",AC80=""),T80,IF(AC80="",AB80,AC80))</f>
        <v>0</v>
      </c>
      <c r="BC80" s="45">
        <f>+X80</f>
        <v>0</v>
      </c>
      <c r="BD80" s="45"/>
      <c r="BE80" s="45">
        <f t="shared" si="61"/>
        <v>0</v>
      </c>
      <c r="BF80" s="39" t="e">
        <f t="shared" si="62"/>
        <v>#DIV/0!</v>
      </c>
    </row>
    <row r="81" spans="1:58" s="20" customFormat="1" ht="12.75" x14ac:dyDescent="0.2">
      <c r="A81" s="21" t="str">
        <f>IF(ISBLANK(F81),"",COUNTA($F$6:F81))</f>
        <v/>
      </c>
      <c r="B81" s="37" t="s">
        <v>60</v>
      </c>
      <c r="C81" s="37" t="s">
        <v>61</v>
      </c>
      <c r="D81" s="22"/>
      <c r="E81" s="23"/>
      <c r="F81" s="36"/>
      <c r="G81" s="24"/>
      <c r="H81" s="24"/>
      <c r="I81" s="24"/>
      <c r="J81" s="24"/>
      <c r="K81" s="25"/>
      <c r="L81" s="26"/>
      <c r="M81" s="38"/>
      <c r="N81" s="52"/>
      <c r="O81" s="27"/>
      <c r="P81" s="27"/>
      <c r="Q81" s="27"/>
      <c r="R81" s="28"/>
      <c r="S81" s="28"/>
      <c r="T81" s="46">
        <f t="shared" si="28"/>
        <v>0</v>
      </c>
      <c r="U81" s="28"/>
      <c r="V81" s="28"/>
      <c r="W81" s="28"/>
      <c r="X81" s="28"/>
      <c r="Y81" s="28"/>
      <c r="Z81" s="28">
        <f>+T81-X81</f>
        <v>0</v>
      </c>
      <c r="AA81" s="29" t="e">
        <f>Z81/T81</f>
        <v>#DIV/0!</v>
      </c>
      <c r="AB81" s="40"/>
      <c r="AC81" s="40"/>
      <c r="AD81" s="40"/>
      <c r="AE81" s="29"/>
      <c r="AF81" s="30"/>
      <c r="AG81" s="30"/>
      <c r="AH81" s="31"/>
      <c r="AI81" s="31">
        <f t="shared" si="29"/>
        <v>0</v>
      </c>
      <c r="AJ81" s="32"/>
      <c r="AK81" s="32"/>
      <c r="AL81" s="32"/>
      <c r="AM81" s="33"/>
      <c r="AN81" s="33"/>
      <c r="AO81" s="33"/>
      <c r="AP81" s="34">
        <f t="shared" si="30"/>
        <v>0</v>
      </c>
      <c r="AQ81" s="32">
        <f t="shared" si="31"/>
        <v>0</v>
      </c>
      <c r="AR81" s="32">
        <f t="shared" si="32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>IF(AND(AB81="",AC81=""),T81,IF(AC81="",AB81,AC81))</f>
        <v>0</v>
      </c>
      <c r="BC81" s="45">
        <f>+X81</f>
        <v>0</v>
      </c>
      <c r="BD81" s="45"/>
      <c r="BE81" s="45">
        <f t="shared" si="33"/>
        <v>0</v>
      </c>
      <c r="BF81" s="39" t="e">
        <f t="shared" si="34"/>
        <v>#DIV/0!</v>
      </c>
    </row>
    <row r="82" spans="1:58" s="20" customFormat="1" ht="12.75" x14ac:dyDescent="0.2">
      <c r="A82" s="21" t="str">
        <f>IF(ISBLANK(F82),"",COUNTA($F$6:F82))</f>
        <v/>
      </c>
      <c r="B82" s="37" t="s">
        <v>60</v>
      </c>
      <c r="C82" s="37" t="s">
        <v>61</v>
      </c>
      <c r="D82" s="22"/>
      <c r="E82" s="23"/>
      <c r="F82" s="36"/>
      <c r="G82" s="24"/>
      <c r="H82" s="24"/>
      <c r="I82" s="24"/>
      <c r="J82" s="24"/>
      <c r="K82" s="25"/>
      <c r="L82" s="26"/>
      <c r="M82" s="38"/>
      <c r="N82" s="52"/>
      <c r="O82" s="27"/>
      <c r="P82" s="27"/>
      <c r="Q82" s="27"/>
      <c r="R82" s="28"/>
      <c r="S82" s="28"/>
      <c r="T82" s="46">
        <f t="shared" si="0"/>
        <v>0</v>
      </c>
      <c r="U82" s="28"/>
      <c r="V82" s="28"/>
      <c r="W82" s="28"/>
      <c r="X82" s="28"/>
      <c r="Y82" s="28"/>
      <c r="Z82" s="28">
        <f>+T82-X82</f>
        <v>0</v>
      </c>
      <c r="AA82" s="29" t="e">
        <f>Z82/T82</f>
        <v>#DIV/0!</v>
      </c>
      <c r="AB82" s="40"/>
      <c r="AC82" s="40"/>
      <c r="AD82" s="40"/>
      <c r="AE82" s="29"/>
      <c r="AF82" s="30"/>
      <c r="AG82" s="30"/>
      <c r="AH82" s="31"/>
      <c r="AI82" s="31">
        <f t="shared" si="1"/>
        <v>0</v>
      </c>
      <c r="AJ82" s="32"/>
      <c r="AK82" s="32"/>
      <c r="AL82" s="32"/>
      <c r="AM82" s="33"/>
      <c r="AN82" s="33"/>
      <c r="AO82" s="33"/>
      <c r="AP82" s="34">
        <f t="shared" si="2"/>
        <v>0</v>
      </c>
      <c r="AQ82" s="32">
        <f t="shared" si="3"/>
        <v>0</v>
      </c>
      <c r="AR82" s="32">
        <f t="shared" si="4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>IF(AND(AB82="",AC82=""),T82,IF(AC82="",AB82,AC82))</f>
        <v>0</v>
      </c>
      <c r="BC82" s="45">
        <f>+X82</f>
        <v>0</v>
      </c>
      <c r="BD82" s="45"/>
      <c r="BE82" s="45">
        <f t="shared" si="5"/>
        <v>0</v>
      </c>
      <c r="BF82" s="39" t="e">
        <f t="shared" si="6"/>
        <v>#DIV/0!</v>
      </c>
    </row>
    <row r="83" spans="1:58" ht="15.75" thickBot="1" x14ac:dyDescent="0.3">
      <c r="A83" s="9">
        <f>+COUNT(A6:A82)</f>
        <v>70</v>
      </c>
      <c r="B83" s="10">
        <f>+COUNTIF(X6:X82,"&gt;0")</f>
        <v>65</v>
      </c>
      <c r="C83" s="10"/>
      <c r="D83" s="10"/>
      <c r="E83" s="10"/>
      <c r="F83" s="10"/>
      <c r="G83" s="10"/>
      <c r="H83" s="10"/>
      <c r="I83" s="10"/>
      <c r="J83" s="10"/>
      <c r="K83" s="10"/>
      <c r="L83" s="11"/>
      <c r="M83" s="10"/>
      <c r="N83" s="10"/>
      <c r="O83" s="10"/>
      <c r="P83" s="10"/>
      <c r="Q83" s="10"/>
      <c r="R83" s="12">
        <f t="shared" ref="R83:Y83" si="77">SUM(R6:R82)</f>
        <v>328454.46000000002</v>
      </c>
      <c r="S83" s="12">
        <f t="shared" si="77"/>
        <v>75991.160000000018</v>
      </c>
      <c r="T83" s="12">
        <f t="shared" si="77"/>
        <v>252463.30000000008</v>
      </c>
      <c r="U83" s="12">
        <f t="shared" si="77"/>
        <v>255243.99999999991</v>
      </c>
      <c r="V83" s="12">
        <f t="shared" si="77"/>
        <v>0</v>
      </c>
      <c r="W83" s="12">
        <f t="shared" si="77"/>
        <v>0</v>
      </c>
      <c r="X83" s="12">
        <f t="shared" si="77"/>
        <v>250677.79999999996</v>
      </c>
      <c r="Y83" s="12">
        <f t="shared" si="77"/>
        <v>0</v>
      </c>
      <c r="Z83" s="12">
        <f>T83-X83</f>
        <v>1785.5000000001164</v>
      </c>
      <c r="AA83" s="13">
        <f>Z83/T83</f>
        <v>7.0723150652000346E-3</v>
      </c>
      <c r="AB83" s="41"/>
      <c r="AC83" s="41"/>
      <c r="AD83" s="41"/>
      <c r="AE83" s="13"/>
      <c r="AF83" s="12">
        <f>SUM(AF6:AF82)</f>
        <v>0</v>
      </c>
      <c r="AG83" s="12">
        <f>SUM(AG6:AG82)</f>
        <v>0</v>
      </c>
      <c r="AH83" s="12">
        <f>SUM(AH6:AH82)</f>
        <v>0</v>
      </c>
      <c r="AI83" s="12">
        <f>SUM(AI6:AI82)</f>
        <v>0</v>
      </c>
      <c r="AJ83" s="14"/>
      <c r="AK83" s="14"/>
      <c r="AL83" s="12"/>
      <c r="AM83" s="15"/>
      <c r="AN83" s="16"/>
      <c r="AO83" s="16"/>
      <c r="AP83" s="17"/>
      <c r="AQ83" s="10">
        <f>SUM(AQ6:AQ82)</f>
        <v>0</v>
      </c>
      <c r="AR83" s="18">
        <f>SUM(AR6:AR82)</f>
        <v>0</v>
      </c>
      <c r="AS83" s="10">
        <f>SUM(AS6:AS82)</f>
        <v>0</v>
      </c>
      <c r="AT83" s="10">
        <f>SUM(AT6:AT82)</f>
        <v>0</v>
      </c>
      <c r="AU83" s="10">
        <f>SUM(AU6:AU82)</f>
        <v>0</v>
      </c>
      <c r="AV83" s="10">
        <f>+SUM(AV6:AV82)</f>
        <v>0</v>
      </c>
      <c r="AW83" s="10">
        <f>SUM(AW6:AW82)</f>
        <v>0</v>
      </c>
      <c r="AX83" s="10">
        <f>SUM(AX6:AX82)</f>
        <v>0</v>
      </c>
      <c r="AY83" s="10">
        <f>SUM(AY6:AY82)</f>
        <v>0</v>
      </c>
      <c r="AZ83" s="19"/>
      <c r="BB83" s="42">
        <f>SUM(BB6:BB82)</f>
        <v>253389.25999999995</v>
      </c>
      <c r="BC83" s="42">
        <f>SUM(BC6:BC82)</f>
        <v>250677.79999999996</v>
      </c>
      <c r="BD83" s="42">
        <f>SUM(BD6:BD82)</f>
        <v>0</v>
      </c>
      <c r="BE83" s="42">
        <f>SUM(BE6:BE82)</f>
        <v>2711.4599999999991</v>
      </c>
      <c r="BF83" s="43">
        <f t="shared" si="6"/>
        <v>1.0700769243337306E-2</v>
      </c>
    </row>
  </sheetData>
  <conditionalFormatting sqref="K82">
    <cfRule type="duplicateValues" dxfId="295" priority="215"/>
  </conditionalFormatting>
  <conditionalFormatting sqref="K82">
    <cfRule type="duplicateValues" dxfId="294" priority="216"/>
    <cfRule type="duplicateValues" dxfId="293" priority="217"/>
  </conditionalFormatting>
  <conditionalFormatting sqref="K82 K5">
    <cfRule type="duplicateValues" dxfId="292" priority="218"/>
  </conditionalFormatting>
  <conditionalFormatting sqref="K82:K83 K5">
    <cfRule type="duplicateValues" dxfId="291" priority="219"/>
  </conditionalFormatting>
  <conditionalFormatting sqref="K82:K83">
    <cfRule type="duplicateValues" dxfId="290" priority="220"/>
  </conditionalFormatting>
  <conditionalFormatting sqref="K82:K83">
    <cfRule type="duplicateValues" dxfId="289" priority="224"/>
  </conditionalFormatting>
  <conditionalFormatting sqref="K82:K83">
    <cfRule type="duplicateValues" dxfId="288" priority="225"/>
  </conditionalFormatting>
  <conditionalFormatting sqref="K82:K83">
    <cfRule type="duplicateValues" dxfId="287" priority="233"/>
  </conditionalFormatting>
  <conditionalFormatting sqref="K82:K83">
    <cfRule type="duplicateValues" dxfId="286" priority="205"/>
  </conditionalFormatting>
  <conditionalFormatting sqref="K82:K83">
    <cfRule type="duplicateValues" dxfId="285" priority="197"/>
  </conditionalFormatting>
  <conditionalFormatting sqref="K82:K83">
    <cfRule type="duplicateValues" dxfId="284" priority="188"/>
  </conditionalFormatting>
  <conditionalFormatting sqref="K82:K83 K5">
    <cfRule type="duplicateValues" dxfId="283" priority="183"/>
    <cfRule type="duplicateValues" dxfId="282" priority="185"/>
    <cfRule type="duplicateValues" dxfId="281" priority="186"/>
    <cfRule type="duplicateValues" dxfId="280" priority="187"/>
  </conditionalFormatting>
  <conditionalFormatting sqref="K27">
    <cfRule type="duplicateValues" dxfId="279" priority="174"/>
  </conditionalFormatting>
  <conditionalFormatting sqref="K27">
    <cfRule type="duplicateValues" dxfId="278" priority="175"/>
    <cfRule type="duplicateValues" dxfId="277" priority="176"/>
  </conditionalFormatting>
  <conditionalFormatting sqref="K27">
    <cfRule type="duplicateValues" dxfId="276" priority="167"/>
    <cfRule type="duplicateValues" dxfId="275" priority="168"/>
    <cfRule type="duplicateValues" dxfId="274" priority="169"/>
    <cfRule type="duplicateValues" dxfId="273" priority="170"/>
  </conditionalFormatting>
  <conditionalFormatting sqref="K27 K5 K82:K83">
    <cfRule type="duplicateValues" dxfId="272" priority="166"/>
  </conditionalFormatting>
  <conditionalFormatting sqref="K10:K11">
    <cfRule type="duplicateValues" dxfId="271" priority="157"/>
  </conditionalFormatting>
  <conditionalFormatting sqref="K10:K11">
    <cfRule type="duplicateValues" dxfId="270" priority="158"/>
    <cfRule type="duplicateValues" dxfId="269" priority="159"/>
  </conditionalFormatting>
  <conditionalFormatting sqref="K10:K11">
    <cfRule type="duplicateValues" dxfId="268" priority="150"/>
    <cfRule type="duplicateValues" dxfId="267" priority="151"/>
    <cfRule type="duplicateValues" dxfId="266" priority="152"/>
    <cfRule type="duplicateValues" dxfId="265" priority="153"/>
  </conditionalFormatting>
  <conditionalFormatting sqref="K10:K11 K5 K27 K82:K83">
    <cfRule type="duplicateValues" dxfId="264" priority="148"/>
  </conditionalFormatting>
  <conditionalFormatting sqref="K6:K9">
    <cfRule type="duplicateValues" dxfId="263" priority="1930"/>
  </conditionalFormatting>
  <conditionalFormatting sqref="K6:K9">
    <cfRule type="duplicateValues" dxfId="262" priority="1931"/>
    <cfRule type="duplicateValues" dxfId="261" priority="1932"/>
  </conditionalFormatting>
  <conditionalFormatting sqref="K6:K9">
    <cfRule type="duplicateValues" dxfId="260" priority="1942"/>
    <cfRule type="duplicateValues" dxfId="259" priority="1943"/>
    <cfRule type="duplicateValues" dxfId="258" priority="1944"/>
    <cfRule type="duplicateValues" dxfId="257" priority="1945"/>
  </conditionalFormatting>
  <conditionalFormatting sqref="K5">
    <cfRule type="duplicateValues" dxfId="256" priority="1951"/>
  </conditionalFormatting>
  <conditionalFormatting sqref="K5:K11 K27 K82:K83">
    <cfRule type="duplicateValues" dxfId="255" priority="1952"/>
    <cfRule type="duplicateValues" dxfId="254" priority="1953"/>
  </conditionalFormatting>
  <conditionalFormatting sqref="K12:K17 K26">
    <cfRule type="duplicateValues" dxfId="253" priority="120"/>
  </conditionalFormatting>
  <conditionalFormatting sqref="K12:K17 K26">
    <cfRule type="duplicateValues" dxfId="252" priority="121"/>
    <cfRule type="duplicateValues" dxfId="251" priority="122"/>
  </conditionalFormatting>
  <conditionalFormatting sqref="K12:K17 K26">
    <cfRule type="duplicateValues" dxfId="250" priority="116"/>
    <cfRule type="duplicateValues" dxfId="249" priority="117"/>
    <cfRule type="duplicateValues" dxfId="248" priority="118"/>
    <cfRule type="duplicateValues" dxfId="247" priority="119"/>
  </conditionalFormatting>
  <conditionalFormatting sqref="K12:K17">
    <cfRule type="duplicateValues" dxfId="246" priority="115"/>
  </conditionalFormatting>
  <conditionalFormatting sqref="K12:K17">
    <cfRule type="duplicateValues" dxfId="245" priority="114"/>
  </conditionalFormatting>
  <conditionalFormatting sqref="K12:K17">
    <cfRule type="duplicateValues" dxfId="244" priority="126"/>
    <cfRule type="duplicateValues" dxfId="243" priority="127"/>
  </conditionalFormatting>
  <conditionalFormatting sqref="K5:K17 K26:K27 K82:K83">
    <cfRule type="duplicateValues" dxfId="242" priority="113"/>
  </conditionalFormatting>
  <conditionalFormatting sqref="K18 K20:K25">
    <cfRule type="duplicateValues" dxfId="241" priority="105"/>
  </conditionalFormatting>
  <conditionalFormatting sqref="K18 K20:K25">
    <cfRule type="duplicateValues" dxfId="240" priority="106"/>
    <cfRule type="duplicateValues" dxfId="239" priority="107"/>
  </conditionalFormatting>
  <conditionalFormatting sqref="K18 K20:K25">
    <cfRule type="duplicateValues" dxfId="238" priority="101"/>
    <cfRule type="duplicateValues" dxfId="237" priority="102"/>
    <cfRule type="duplicateValues" dxfId="236" priority="103"/>
    <cfRule type="duplicateValues" dxfId="235" priority="104"/>
  </conditionalFormatting>
  <conditionalFormatting sqref="K18 K20:K25">
    <cfRule type="duplicateValues" dxfId="234" priority="100"/>
  </conditionalFormatting>
  <conditionalFormatting sqref="K18 K20:K25">
    <cfRule type="duplicateValues" dxfId="233" priority="99"/>
  </conditionalFormatting>
  <conditionalFormatting sqref="K18 K20:K25">
    <cfRule type="duplicateValues" dxfId="232" priority="111"/>
    <cfRule type="duplicateValues" dxfId="231" priority="112"/>
  </conditionalFormatting>
  <conditionalFormatting sqref="K18 K20:K25">
    <cfRule type="duplicateValues" dxfId="230" priority="98"/>
  </conditionalFormatting>
  <conditionalFormatting sqref="K19">
    <cfRule type="duplicateValues" dxfId="229" priority="90"/>
  </conditionalFormatting>
  <conditionalFormatting sqref="K19">
    <cfRule type="duplicateValues" dxfId="228" priority="91"/>
    <cfRule type="duplicateValues" dxfId="227" priority="92"/>
  </conditionalFormatting>
  <conditionalFormatting sqref="K19">
    <cfRule type="duplicateValues" dxfId="226" priority="86"/>
    <cfRule type="duplicateValues" dxfId="225" priority="87"/>
    <cfRule type="duplicateValues" dxfId="224" priority="88"/>
    <cfRule type="duplicateValues" dxfId="223" priority="89"/>
  </conditionalFormatting>
  <conditionalFormatting sqref="K19">
    <cfRule type="duplicateValues" dxfId="222" priority="85"/>
  </conditionalFormatting>
  <conditionalFormatting sqref="K19">
    <cfRule type="duplicateValues" dxfId="221" priority="84"/>
  </conditionalFormatting>
  <conditionalFormatting sqref="K19">
    <cfRule type="duplicateValues" dxfId="220" priority="96"/>
    <cfRule type="duplicateValues" dxfId="219" priority="97"/>
  </conditionalFormatting>
  <conditionalFormatting sqref="K19">
    <cfRule type="duplicateValues" dxfId="218" priority="83"/>
  </conditionalFormatting>
  <conditionalFormatting sqref="K5:K27 K82:K83">
    <cfRule type="duplicateValues" dxfId="217" priority="82"/>
  </conditionalFormatting>
  <conditionalFormatting sqref="K28:K41 K63:K81">
    <cfRule type="duplicateValues" dxfId="216" priority="68"/>
  </conditionalFormatting>
  <conditionalFormatting sqref="K28:K41 K63:K81">
    <cfRule type="duplicateValues" dxfId="215" priority="69"/>
    <cfRule type="duplicateValues" dxfId="214" priority="70"/>
  </conditionalFormatting>
  <conditionalFormatting sqref="K28:K41">
    <cfRule type="duplicateValues" dxfId="213" priority="71"/>
  </conditionalFormatting>
  <conditionalFormatting sqref="K28:K41">
    <cfRule type="duplicateValues" dxfId="212" priority="72"/>
  </conditionalFormatting>
  <conditionalFormatting sqref="K28:K41">
    <cfRule type="duplicateValues" dxfId="211" priority="73"/>
  </conditionalFormatting>
  <conditionalFormatting sqref="K28:K41">
    <cfRule type="duplicateValues" dxfId="210" priority="74"/>
  </conditionalFormatting>
  <conditionalFormatting sqref="K28:K41">
    <cfRule type="duplicateValues" dxfId="209" priority="75"/>
  </conditionalFormatting>
  <conditionalFormatting sqref="K28:K41">
    <cfRule type="duplicateValues" dxfId="208" priority="76"/>
  </conditionalFormatting>
  <conditionalFormatting sqref="K28:K41">
    <cfRule type="duplicateValues" dxfId="207" priority="67"/>
  </conditionalFormatting>
  <conditionalFormatting sqref="K28:K41">
    <cfRule type="duplicateValues" dxfId="206" priority="66"/>
  </conditionalFormatting>
  <conditionalFormatting sqref="K28:K41">
    <cfRule type="duplicateValues" dxfId="205" priority="65"/>
  </conditionalFormatting>
  <conditionalFormatting sqref="K28:K41 K63:K81">
    <cfRule type="duplicateValues" dxfId="204" priority="61"/>
    <cfRule type="duplicateValues" dxfId="203" priority="62"/>
    <cfRule type="duplicateValues" dxfId="202" priority="63"/>
    <cfRule type="duplicateValues" dxfId="201" priority="64"/>
  </conditionalFormatting>
  <conditionalFormatting sqref="K28:K41">
    <cfRule type="duplicateValues" dxfId="200" priority="60"/>
  </conditionalFormatting>
  <conditionalFormatting sqref="K28:K41">
    <cfRule type="duplicateValues" dxfId="199" priority="59"/>
  </conditionalFormatting>
  <conditionalFormatting sqref="K28:K41">
    <cfRule type="duplicateValues" dxfId="198" priority="77"/>
    <cfRule type="duplicateValues" dxfId="197" priority="78"/>
  </conditionalFormatting>
  <conditionalFormatting sqref="K28:K41">
    <cfRule type="duplicateValues" dxfId="196" priority="58"/>
  </conditionalFormatting>
  <conditionalFormatting sqref="K28:K41">
    <cfRule type="duplicateValues" dxfId="195" priority="57"/>
  </conditionalFormatting>
  <conditionalFormatting sqref="K6:K41 K63:K83">
    <cfRule type="duplicateValues" dxfId="194" priority="56"/>
  </conditionalFormatting>
  <conditionalFormatting sqref="K42:K56">
    <cfRule type="duplicateValues" dxfId="193" priority="42"/>
  </conditionalFormatting>
  <conditionalFormatting sqref="K42:K56">
    <cfRule type="duplicateValues" dxfId="192" priority="43"/>
    <cfRule type="duplicateValues" dxfId="191" priority="44"/>
  </conditionalFormatting>
  <conditionalFormatting sqref="K42:K56">
    <cfRule type="duplicateValues" dxfId="190" priority="45"/>
  </conditionalFormatting>
  <conditionalFormatting sqref="K42:K56">
    <cfRule type="duplicateValues" dxfId="189" priority="46"/>
  </conditionalFormatting>
  <conditionalFormatting sqref="K42:K56">
    <cfRule type="duplicateValues" dxfId="188" priority="47"/>
  </conditionalFormatting>
  <conditionalFormatting sqref="K42:K56">
    <cfRule type="duplicateValues" dxfId="187" priority="48"/>
  </conditionalFormatting>
  <conditionalFormatting sqref="K42:K56">
    <cfRule type="duplicateValues" dxfId="186" priority="49"/>
  </conditionalFormatting>
  <conditionalFormatting sqref="K42:K56">
    <cfRule type="duplicateValues" dxfId="185" priority="50"/>
  </conditionalFormatting>
  <conditionalFormatting sqref="K42:K56">
    <cfRule type="duplicateValues" dxfId="184" priority="41"/>
  </conditionalFormatting>
  <conditionalFormatting sqref="K42:K56">
    <cfRule type="duplicateValues" dxfId="183" priority="40"/>
  </conditionalFormatting>
  <conditionalFormatting sqref="K42:K56">
    <cfRule type="duplicateValues" dxfId="182" priority="39"/>
  </conditionalFormatting>
  <conditionalFormatting sqref="K42:K56">
    <cfRule type="duplicateValues" dxfId="181" priority="35"/>
    <cfRule type="duplicateValues" dxfId="180" priority="36"/>
    <cfRule type="duplicateValues" dxfId="179" priority="37"/>
    <cfRule type="duplicateValues" dxfId="178" priority="38"/>
  </conditionalFormatting>
  <conditionalFormatting sqref="K42:K56">
    <cfRule type="duplicateValues" dxfId="177" priority="34"/>
  </conditionalFormatting>
  <conditionalFormatting sqref="K42:K56">
    <cfRule type="duplicateValues" dxfId="176" priority="33"/>
  </conditionalFormatting>
  <conditionalFormatting sqref="K42:K56">
    <cfRule type="duplicateValues" dxfId="175" priority="51"/>
    <cfRule type="duplicateValues" dxfId="174" priority="52"/>
  </conditionalFormatting>
  <conditionalFormatting sqref="K42:K56">
    <cfRule type="duplicateValues" dxfId="173" priority="32"/>
  </conditionalFormatting>
  <conditionalFormatting sqref="K42:K56">
    <cfRule type="duplicateValues" dxfId="172" priority="31"/>
  </conditionalFormatting>
  <conditionalFormatting sqref="K42:K56">
    <cfRule type="duplicateValues" dxfId="171" priority="30"/>
  </conditionalFormatting>
  <conditionalFormatting sqref="K5:K56 K63:K83">
    <cfRule type="duplicateValues" dxfId="170" priority="29"/>
  </conditionalFormatting>
  <conditionalFormatting sqref="K57:K80">
    <cfRule type="duplicateValues" dxfId="169" priority="15"/>
  </conditionalFormatting>
  <conditionalFormatting sqref="K57:K80">
    <cfRule type="duplicateValues" dxfId="168" priority="16"/>
    <cfRule type="duplicateValues" dxfId="167" priority="17"/>
  </conditionalFormatting>
  <conditionalFormatting sqref="K57:K80">
    <cfRule type="duplicateValues" dxfId="166" priority="18"/>
  </conditionalFormatting>
  <conditionalFormatting sqref="K57:K80">
    <cfRule type="duplicateValues" dxfId="165" priority="19"/>
  </conditionalFormatting>
  <conditionalFormatting sqref="K57:K80">
    <cfRule type="duplicateValues" dxfId="164" priority="20"/>
  </conditionalFormatting>
  <conditionalFormatting sqref="K57:K80">
    <cfRule type="duplicateValues" dxfId="163" priority="21"/>
  </conditionalFormatting>
  <conditionalFormatting sqref="K57:K80">
    <cfRule type="duplicateValues" dxfId="162" priority="22"/>
  </conditionalFormatting>
  <conditionalFormatting sqref="K57:K80">
    <cfRule type="duplicateValues" dxfId="161" priority="23"/>
  </conditionalFormatting>
  <conditionalFormatting sqref="K57:K80">
    <cfRule type="duplicateValues" dxfId="160" priority="14"/>
  </conditionalFormatting>
  <conditionalFormatting sqref="K57:K80">
    <cfRule type="duplicateValues" dxfId="159" priority="13"/>
  </conditionalFormatting>
  <conditionalFormatting sqref="K57:K80">
    <cfRule type="duplicateValues" dxfId="158" priority="12"/>
  </conditionalFormatting>
  <conditionalFormatting sqref="K57:K80">
    <cfRule type="duplicateValues" dxfId="157" priority="8"/>
    <cfRule type="duplicateValues" dxfId="156" priority="9"/>
    <cfRule type="duplicateValues" dxfId="155" priority="10"/>
    <cfRule type="duplicateValues" dxfId="154" priority="11"/>
  </conditionalFormatting>
  <conditionalFormatting sqref="K57:K80">
    <cfRule type="duplicateValues" dxfId="153" priority="7"/>
  </conditionalFormatting>
  <conditionalFormatting sqref="K57:K80">
    <cfRule type="duplicateValues" dxfId="152" priority="6"/>
  </conditionalFormatting>
  <conditionalFormatting sqref="K57:K80">
    <cfRule type="duplicateValues" dxfId="151" priority="24"/>
    <cfRule type="duplicateValues" dxfId="150" priority="25"/>
  </conditionalFormatting>
  <conditionalFormatting sqref="K57:K80">
    <cfRule type="duplicateValues" dxfId="149" priority="5"/>
  </conditionalFormatting>
  <conditionalFormatting sqref="K57:K80">
    <cfRule type="duplicateValues" dxfId="148" priority="4"/>
  </conditionalFormatting>
  <conditionalFormatting sqref="K57:K80">
    <cfRule type="duplicateValues" dxfId="147" priority="3"/>
  </conditionalFormatting>
  <conditionalFormatting sqref="K57:K80">
    <cfRule type="duplicateValues" dxfId="146" priority="2"/>
  </conditionalFormatting>
  <conditionalFormatting sqref="K5:K83">
    <cfRule type="duplicateValues" dxfId="145" priority="1"/>
  </conditionalFormatting>
  <conditionalFormatting sqref="BB6:BB82">
    <cfRule type="expression" dxfId="2" priority="2014">
      <formula>$AC6&lt;&gt;""</formula>
    </cfRule>
    <cfRule type="expression" dxfId="1" priority="2015">
      <formula>$AB6&lt;&gt;""</formula>
    </cfRule>
    <cfRule type="expression" dxfId="0" priority="2016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111"/>
  <sheetViews>
    <sheetView workbookViewId="0">
      <pane xSplit="11" ySplit="5" topLeftCell="Z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110" si="0">+R6-S6</f>
        <v>3897.2</v>
      </c>
      <c r="U6" s="46">
        <v>3917.2</v>
      </c>
      <c r="V6" s="46"/>
      <c r="W6" s="46"/>
      <c r="X6" s="46">
        <v>3787</v>
      </c>
      <c r="Y6" s="46"/>
      <c r="Z6" s="46">
        <f t="shared" ref="Z6:Z37" si="1">+T6-X6</f>
        <v>110.19999999999982</v>
      </c>
      <c r="AA6" s="39">
        <f t="shared" ref="AA6:AA37" si="2">Z6/T6</f>
        <v>2.8276711485168794E-2</v>
      </c>
      <c r="AB6" s="73">
        <v>3897.2</v>
      </c>
      <c r="AC6" s="73">
        <v>3897.2</v>
      </c>
      <c r="AD6" s="73"/>
      <c r="AE6" s="39"/>
      <c r="AF6" s="74"/>
      <c r="AG6" s="74"/>
      <c r="AH6" s="75"/>
      <c r="AI6" s="75">
        <f t="shared" ref="AI6:AI110" si="3">+AG6+AH6</f>
        <v>0</v>
      </c>
      <c r="AJ6" s="32"/>
      <c r="AK6" s="32"/>
      <c r="AL6" s="32"/>
      <c r="AM6" s="33"/>
      <c r="AN6" s="33"/>
      <c r="AO6" s="33"/>
      <c r="AP6" s="34">
        <f t="shared" ref="AP6:AP110" si="4">ROUNDUP((AO6-AM6+(AO6&lt;AM6))*24,0)</f>
        <v>0</v>
      </c>
      <c r="AQ6" s="32">
        <f t="shared" ref="AQ6:AQ110" si="5">IF(AP6&gt;5,(AP6-5),0)</f>
        <v>0</v>
      </c>
      <c r="AR6" s="32">
        <f t="shared" ref="AR6:AR110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3897.2</v>
      </c>
      <c r="BC6" s="45">
        <f t="shared" ref="BC6:BC37" si="8">+X6</f>
        <v>3787</v>
      </c>
      <c r="BD6" s="45"/>
      <c r="BE6" s="45">
        <f t="shared" ref="BE6:BE77" si="9">+BB6-BC6</f>
        <v>110.19999999999982</v>
      </c>
      <c r="BF6" s="39">
        <f t="shared" ref="BF6:BF77" si="10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 t="shared" si="1"/>
        <v>62.699999999999818</v>
      </c>
      <c r="AA7" s="39">
        <f t="shared" si="2"/>
        <v>1.6049351114751535E-2</v>
      </c>
      <c r="AB7" s="73">
        <v>3906.7</v>
      </c>
      <c r="AC7" s="73">
        <v>3906.7</v>
      </c>
      <c r="AD7" s="73"/>
      <c r="AE7" s="39"/>
      <c r="AF7" s="74"/>
      <c r="AG7" s="74"/>
      <c r="AH7" s="75"/>
      <c r="AI7" s="75">
        <f t="shared" si="3"/>
        <v>0</v>
      </c>
      <c r="AJ7" s="32"/>
      <c r="AK7" s="32"/>
      <c r="AL7" s="32"/>
      <c r="AM7" s="33"/>
      <c r="AN7" s="33"/>
      <c r="AO7" s="33"/>
      <c r="AP7" s="34">
        <f t="shared" si="4"/>
        <v>0</v>
      </c>
      <c r="AQ7" s="32">
        <f t="shared" si="5"/>
        <v>0</v>
      </c>
      <c r="AR7" s="32">
        <f t="shared" si="6"/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3906.7</v>
      </c>
      <c r="BC7" s="45">
        <f t="shared" si="8"/>
        <v>3844</v>
      </c>
      <c r="BD7" s="45"/>
      <c r="BE7" s="45">
        <f t="shared" si="9"/>
        <v>62.699999999999818</v>
      </c>
      <c r="BF7" s="39">
        <f t="shared" si="10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 t="shared" si="1"/>
        <v>91.899999999999636</v>
      </c>
      <c r="AA8" s="39">
        <f t="shared" si="2"/>
        <v>2.5751674279149168E-2</v>
      </c>
      <c r="AB8" s="73">
        <v>3568.7</v>
      </c>
      <c r="AC8" s="73">
        <v>3568.7</v>
      </c>
      <c r="AD8" s="73"/>
      <c r="AE8" s="39"/>
      <c r="AF8" s="74"/>
      <c r="AG8" s="74"/>
      <c r="AH8" s="75"/>
      <c r="AI8" s="75">
        <f t="shared" si="3"/>
        <v>0</v>
      </c>
      <c r="AJ8" s="32"/>
      <c r="AK8" s="32"/>
      <c r="AL8" s="32"/>
      <c r="AM8" s="33"/>
      <c r="AN8" s="33"/>
      <c r="AO8" s="33"/>
      <c r="AP8" s="34">
        <f t="shared" si="4"/>
        <v>0</v>
      </c>
      <c r="AQ8" s="32">
        <f t="shared" si="5"/>
        <v>0</v>
      </c>
      <c r="AR8" s="32">
        <f t="shared" si="6"/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3568.7</v>
      </c>
      <c r="BC8" s="45">
        <f t="shared" si="8"/>
        <v>3476.8</v>
      </c>
      <c r="BD8" s="45"/>
      <c r="BE8" s="45">
        <f t="shared" si="9"/>
        <v>91.899999999999636</v>
      </c>
      <c r="BF8" s="39">
        <f t="shared" si="10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 t="shared" si="1"/>
        <v>-143.69999999999982</v>
      </c>
      <c r="AA9" s="39">
        <f t="shared" si="2"/>
        <v>-3.5884629791484532E-2</v>
      </c>
      <c r="AB9" s="73">
        <v>4135.0600000000004</v>
      </c>
      <c r="AC9" s="73">
        <v>4129.5600000000004</v>
      </c>
      <c r="AD9" s="73"/>
      <c r="AE9" s="39"/>
      <c r="AF9" s="74"/>
      <c r="AG9" s="74"/>
      <c r="AH9" s="75"/>
      <c r="AI9" s="75">
        <f t="shared" si="3"/>
        <v>0</v>
      </c>
      <c r="AJ9" s="32"/>
      <c r="AK9" s="32"/>
      <c r="AL9" s="32"/>
      <c r="AM9" s="33"/>
      <c r="AN9" s="33"/>
      <c r="AO9" s="33"/>
      <c r="AP9" s="34">
        <f t="shared" si="4"/>
        <v>0</v>
      </c>
      <c r="AQ9" s="32">
        <f t="shared" si="5"/>
        <v>0</v>
      </c>
      <c r="AR9" s="32">
        <f t="shared" si="6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4129.5600000000004</v>
      </c>
      <c r="BC9" s="45">
        <f t="shared" si="8"/>
        <v>4148.2</v>
      </c>
      <c r="BD9" s="45"/>
      <c r="BE9" s="45">
        <f t="shared" si="9"/>
        <v>-18.639999999999418</v>
      </c>
      <c r="BF9" s="39">
        <f t="shared" si="10"/>
        <v>-4.5137980801827349E-3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 t="shared" si="1"/>
        <v>-62.299999999999727</v>
      </c>
      <c r="AA10" s="39">
        <f t="shared" si="2"/>
        <v>-1.571684452180926E-2</v>
      </c>
      <c r="AB10" s="73">
        <v>3969.81</v>
      </c>
      <c r="AC10" s="73">
        <v>3963.91</v>
      </c>
      <c r="AD10" s="73"/>
      <c r="AE10" s="39"/>
      <c r="AF10" s="74"/>
      <c r="AG10" s="74"/>
      <c r="AH10" s="75"/>
      <c r="AI10" s="75">
        <f t="shared" si="3"/>
        <v>0</v>
      </c>
      <c r="AJ10" s="32"/>
      <c r="AK10" s="32"/>
      <c r="AL10" s="32"/>
      <c r="AM10" s="33"/>
      <c r="AN10" s="33"/>
      <c r="AO10" s="33"/>
      <c r="AP10" s="34">
        <f t="shared" si="4"/>
        <v>0</v>
      </c>
      <c r="AQ10" s="32">
        <f t="shared" si="5"/>
        <v>0</v>
      </c>
      <c r="AR10" s="32">
        <f t="shared" si="6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3963.91</v>
      </c>
      <c r="BC10" s="45">
        <f t="shared" si="8"/>
        <v>4026.2</v>
      </c>
      <c r="BD10" s="45"/>
      <c r="BE10" s="45">
        <f t="shared" si="9"/>
        <v>-62.289999999999964</v>
      </c>
      <c r="BF10" s="39">
        <f t="shared" si="10"/>
        <v>-1.5714282110340538E-2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 t="shared" si="1"/>
        <v>107</v>
      </c>
      <c r="AA11" s="39">
        <f t="shared" si="2"/>
        <v>2.7934419381787801E-2</v>
      </c>
      <c r="AB11" s="73">
        <v>3830.4</v>
      </c>
      <c r="AC11" s="73">
        <v>3830.4</v>
      </c>
      <c r="AD11" s="73"/>
      <c r="AE11" s="39"/>
      <c r="AF11" s="74"/>
      <c r="AG11" s="74"/>
      <c r="AH11" s="75"/>
      <c r="AI11" s="75">
        <f t="shared" si="3"/>
        <v>0</v>
      </c>
      <c r="AJ11" s="32"/>
      <c r="AK11" s="32"/>
      <c r="AL11" s="32"/>
      <c r="AM11" s="33"/>
      <c r="AN11" s="33"/>
      <c r="AO11" s="33"/>
      <c r="AP11" s="34">
        <f t="shared" si="4"/>
        <v>0</v>
      </c>
      <c r="AQ11" s="32">
        <f t="shared" si="5"/>
        <v>0</v>
      </c>
      <c r="AR11" s="32">
        <f t="shared" si="6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3830.4</v>
      </c>
      <c r="BC11" s="45">
        <f t="shared" si="8"/>
        <v>3723.4</v>
      </c>
      <c r="BD11" s="45"/>
      <c r="BE11" s="45">
        <f t="shared" si="9"/>
        <v>107</v>
      </c>
      <c r="BF11" s="39">
        <f t="shared" si="10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 t="shared" si="1"/>
        <v>58</v>
      </c>
      <c r="AA12" s="39">
        <f t="shared" si="2"/>
        <v>1.6925411462589003E-2</v>
      </c>
      <c r="AB12" s="73">
        <v>3426.75</v>
      </c>
      <c r="AC12" s="73">
        <v>3426.75</v>
      </c>
      <c r="AD12" s="73"/>
      <c r="AE12" s="39"/>
      <c r="AF12" s="74"/>
      <c r="AG12" s="74"/>
      <c r="AH12" s="75"/>
      <c r="AI12" s="75">
        <f t="shared" si="3"/>
        <v>0</v>
      </c>
      <c r="AJ12" s="32"/>
      <c r="AK12" s="32"/>
      <c r="AL12" s="32"/>
      <c r="AM12" s="33"/>
      <c r="AN12" s="33"/>
      <c r="AO12" s="33"/>
      <c r="AP12" s="34">
        <f t="shared" si="4"/>
        <v>0</v>
      </c>
      <c r="AQ12" s="32">
        <f t="shared" si="5"/>
        <v>0</v>
      </c>
      <c r="AR12" s="32">
        <f t="shared" si="6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3426.75</v>
      </c>
      <c r="BC12" s="45">
        <f t="shared" si="8"/>
        <v>3368.8</v>
      </c>
      <c r="BD12" s="45"/>
      <c r="BE12" s="45">
        <f t="shared" si="9"/>
        <v>57.949999999999818</v>
      </c>
      <c r="BF12" s="39">
        <f t="shared" si="10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 t="shared" si="1"/>
        <v>114.20000000000027</v>
      </c>
      <c r="AA13" s="39">
        <f t="shared" si="2"/>
        <v>2.900391121044351E-2</v>
      </c>
      <c r="AB13" s="73">
        <v>3937.35</v>
      </c>
      <c r="AC13" s="73">
        <v>3937.35</v>
      </c>
      <c r="AD13" s="73"/>
      <c r="AE13" s="39"/>
      <c r="AF13" s="74"/>
      <c r="AG13" s="74"/>
      <c r="AH13" s="75"/>
      <c r="AI13" s="75">
        <f t="shared" si="3"/>
        <v>0</v>
      </c>
      <c r="AJ13" s="32"/>
      <c r="AK13" s="32"/>
      <c r="AL13" s="32"/>
      <c r="AM13" s="33"/>
      <c r="AN13" s="33"/>
      <c r="AO13" s="33"/>
      <c r="AP13" s="34">
        <f t="shared" si="4"/>
        <v>0</v>
      </c>
      <c r="AQ13" s="32">
        <f t="shared" si="5"/>
        <v>0</v>
      </c>
      <c r="AR13" s="32">
        <f t="shared" si="6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3937.35</v>
      </c>
      <c r="BC13" s="45">
        <f t="shared" si="8"/>
        <v>3823.2</v>
      </c>
      <c r="BD13" s="45"/>
      <c r="BE13" s="45">
        <f t="shared" si="9"/>
        <v>114.15000000000009</v>
      </c>
      <c r="BF13" s="39">
        <f t="shared" si="10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 t="shared" si="1"/>
        <v>-43.600000000000364</v>
      </c>
      <c r="AA14" s="39">
        <f t="shared" si="2"/>
        <v>-1.1598212385614058E-2</v>
      </c>
      <c r="AB14" s="73">
        <v>3761.06</v>
      </c>
      <c r="AC14" s="73">
        <v>3759.16</v>
      </c>
      <c r="AD14" s="73"/>
      <c r="AE14" s="39"/>
      <c r="AF14" s="74"/>
      <c r="AG14" s="74"/>
      <c r="AH14" s="75"/>
      <c r="AI14" s="75">
        <f t="shared" si="3"/>
        <v>0</v>
      </c>
      <c r="AJ14" s="32"/>
      <c r="AK14" s="32"/>
      <c r="AL14" s="32"/>
      <c r="AM14" s="33"/>
      <c r="AN14" s="33"/>
      <c r="AO14" s="33"/>
      <c r="AP14" s="34">
        <f t="shared" si="4"/>
        <v>0</v>
      </c>
      <c r="AQ14" s="32">
        <f t="shared" si="5"/>
        <v>0</v>
      </c>
      <c r="AR14" s="32">
        <f t="shared" si="6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3759.16</v>
      </c>
      <c r="BC14" s="45">
        <f t="shared" si="8"/>
        <v>3802.8</v>
      </c>
      <c r="BD14" s="45"/>
      <c r="BE14" s="45">
        <f t="shared" si="9"/>
        <v>-43.640000000000327</v>
      </c>
      <c r="BF14" s="39">
        <f t="shared" si="10"/>
        <v>-1.1608976473467564E-2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11">+R15-S15</f>
        <v>3915.1</v>
      </c>
      <c r="U15" s="46">
        <v>3921.2</v>
      </c>
      <c r="V15" s="46"/>
      <c r="W15" s="46"/>
      <c r="X15" s="46">
        <v>3799.8</v>
      </c>
      <c r="Y15" s="46"/>
      <c r="Z15" s="46">
        <f t="shared" si="1"/>
        <v>115.29999999999973</v>
      </c>
      <c r="AA15" s="39">
        <f t="shared" si="2"/>
        <v>2.9450077903501758E-2</v>
      </c>
      <c r="AB15" s="73">
        <v>3915.1</v>
      </c>
      <c r="AC15" s="73">
        <v>3915.1</v>
      </c>
      <c r="AD15" s="73"/>
      <c r="AE15" s="39"/>
      <c r="AF15" s="74"/>
      <c r="AG15" s="74"/>
      <c r="AH15" s="75"/>
      <c r="AI15" s="75">
        <f t="shared" ref="AI15:AI86" si="12">+AG15+AH15</f>
        <v>0</v>
      </c>
      <c r="AJ15" s="32"/>
      <c r="AK15" s="32"/>
      <c r="AL15" s="32"/>
      <c r="AM15" s="33"/>
      <c r="AN15" s="33"/>
      <c r="AO15" s="33"/>
      <c r="AP15" s="34">
        <f t="shared" ref="AP15:AP86" si="13">ROUNDUP((AO15-AM15+(AO15&lt;AM15))*24,0)</f>
        <v>0</v>
      </c>
      <c r="AQ15" s="32">
        <f t="shared" ref="AQ15:AQ86" si="14">IF(AP15&gt;5,(AP15-5),0)</f>
        <v>0</v>
      </c>
      <c r="AR15" s="32">
        <f t="shared" ref="AR15:AR86" si="15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3915.1</v>
      </c>
      <c r="BC15" s="45">
        <f t="shared" si="8"/>
        <v>3799.8</v>
      </c>
      <c r="BD15" s="45"/>
      <c r="BE15" s="45">
        <f t="shared" si="9"/>
        <v>115.29999999999973</v>
      </c>
      <c r="BF15" s="39">
        <f t="shared" si="10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6">+R16-S16</f>
        <v>3826.8</v>
      </c>
      <c r="U16" s="46">
        <v>3845.4</v>
      </c>
      <c r="V16" s="46"/>
      <c r="W16" s="46"/>
      <c r="X16" s="46">
        <v>3709.2</v>
      </c>
      <c r="Y16" s="46"/>
      <c r="Z16" s="46">
        <f t="shared" si="1"/>
        <v>117.60000000000036</v>
      </c>
      <c r="AA16" s="39">
        <f t="shared" si="2"/>
        <v>3.0730636563186045E-2</v>
      </c>
      <c r="AB16" s="73">
        <v>3826.75</v>
      </c>
      <c r="AC16" s="73">
        <v>3826.75</v>
      </c>
      <c r="AD16" s="73"/>
      <c r="AE16" s="39"/>
      <c r="AF16" s="74"/>
      <c r="AG16" s="74"/>
      <c r="AH16" s="75"/>
      <c r="AI16" s="75">
        <f t="shared" ref="AI16:AI17" si="17">+AG16+AH16</f>
        <v>0</v>
      </c>
      <c r="AJ16" s="32"/>
      <c r="AK16" s="32"/>
      <c r="AL16" s="32"/>
      <c r="AM16" s="33"/>
      <c r="AN16" s="33"/>
      <c r="AO16" s="33"/>
      <c r="AP16" s="34">
        <f t="shared" ref="AP16:AP17" si="18">ROUNDUP((AO16-AM16+(AO16&lt;AM16))*24,0)</f>
        <v>0</v>
      </c>
      <c r="AQ16" s="32">
        <f t="shared" ref="AQ16:AQ17" si="19">IF(AP16&gt;5,(AP16-5),0)</f>
        <v>0</v>
      </c>
      <c r="AR16" s="32">
        <f t="shared" ref="AR16:AR17" si="20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3826.75</v>
      </c>
      <c r="BC16" s="45">
        <f t="shared" si="8"/>
        <v>3709.2</v>
      </c>
      <c r="BD16" s="45"/>
      <c r="BE16" s="45">
        <f t="shared" ref="BE16:BE17" si="21">+BB16-BC16</f>
        <v>117.55000000000018</v>
      </c>
      <c r="BF16" s="39">
        <f t="shared" ref="BF16:BF17" si="22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6"/>
        <v>3769.4</v>
      </c>
      <c r="U17" s="46">
        <v>3784.4</v>
      </c>
      <c r="V17" s="46"/>
      <c r="W17" s="46"/>
      <c r="X17" s="46">
        <v>3682.6</v>
      </c>
      <c r="Y17" s="46"/>
      <c r="Z17" s="46">
        <f t="shared" si="1"/>
        <v>86.800000000000182</v>
      </c>
      <c r="AA17" s="39">
        <f t="shared" si="2"/>
        <v>2.3027537539130945E-2</v>
      </c>
      <c r="AB17" s="73">
        <v>3769.4</v>
      </c>
      <c r="AC17" s="73">
        <v>3769.4</v>
      </c>
      <c r="AD17" s="73"/>
      <c r="AE17" s="39"/>
      <c r="AF17" s="74"/>
      <c r="AG17" s="74"/>
      <c r="AH17" s="75"/>
      <c r="AI17" s="75">
        <f t="shared" si="17"/>
        <v>0</v>
      </c>
      <c r="AJ17" s="32"/>
      <c r="AK17" s="32"/>
      <c r="AL17" s="32"/>
      <c r="AM17" s="33"/>
      <c r="AN17" s="33"/>
      <c r="AO17" s="33"/>
      <c r="AP17" s="34">
        <f t="shared" si="18"/>
        <v>0</v>
      </c>
      <c r="AQ17" s="32">
        <f t="shared" si="19"/>
        <v>0</v>
      </c>
      <c r="AR17" s="32">
        <f t="shared" si="20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3769.4</v>
      </c>
      <c r="BC17" s="45">
        <f t="shared" si="8"/>
        <v>3682.6</v>
      </c>
      <c r="BD17" s="45"/>
      <c r="BE17" s="45">
        <f t="shared" si="21"/>
        <v>86.800000000000182</v>
      </c>
      <c r="BF17" s="39">
        <f t="shared" si="22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11"/>
        <v>3799.7</v>
      </c>
      <c r="U18" s="46">
        <v>3822.4</v>
      </c>
      <c r="V18" s="46"/>
      <c r="W18" s="46"/>
      <c r="X18" s="46">
        <v>3936.8</v>
      </c>
      <c r="Y18" s="46"/>
      <c r="Z18" s="46">
        <f t="shared" si="1"/>
        <v>-137.10000000000036</v>
      </c>
      <c r="AA18" s="39">
        <f t="shared" si="2"/>
        <v>-3.6081795931257828E-2</v>
      </c>
      <c r="AB18" s="73">
        <v>3841.65</v>
      </c>
      <c r="AC18" s="73">
        <v>3823.15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3823.15</v>
      </c>
      <c r="BC18" s="45">
        <f t="shared" si="8"/>
        <v>3936.8</v>
      </c>
      <c r="BD18" s="45"/>
      <c r="BE18" s="45">
        <f t="shared" si="9"/>
        <v>-113.65000000000009</v>
      </c>
      <c r="BF18" s="39">
        <f t="shared" si="10"/>
        <v>-2.9726795966676715E-2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11"/>
        <v>3935.6</v>
      </c>
      <c r="U19" s="46">
        <v>3936.4</v>
      </c>
      <c r="V19" s="46"/>
      <c r="W19" s="46"/>
      <c r="X19" s="46">
        <v>3869.6</v>
      </c>
      <c r="Y19" s="46"/>
      <c r="Z19" s="46">
        <f t="shared" si="1"/>
        <v>66</v>
      </c>
      <c r="AA19" s="39">
        <f t="shared" si="2"/>
        <v>1.6769996950909645E-2</v>
      </c>
      <c r="AB19" s="73">
        <v>3935.6</v>
      </c>
      <c r="AC19" s="73">
        <v>3935.6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3935.6</v>
      </c>
      <c r="BC19" s="45">
        <f t="shared" si="8"/>
        <v>3869.6</v>
      </c>
      <c r="BD19" s="45"/>
      <c r="BE19" s="45">
        <f t="shared" si="9"/>
        <v>66</v>
      </c>
      <c r="BF19" s="39">
        <f t="shared" si="10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11"/>
        <v>3919.2</v>
      </c>
      <c r="U20" s="46">
        <v>3924.4</v>
      </c>
      <c r="V20" s="46"/>
      <c r="W20" s="46"/>
      <c r="X20" s="46">
        <v>3997.8</v>
      </c>
      <c r="Y20" s="46"/>
      <c r="Z20" s="46">
        <f t="shared" si="1"/>
        <v>-78.600000000000364</v>
      </c>
      <c r="AA20" s="39">
        <f t="shared" si="2"/>
        <v>-2.0055113288426303E-2</v>
      </c>
      <c r="AB20" s="73">
        <v>3919.15</v>
      </c>
      <c r="AC20" s="73">
        <v>3919.15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3919.15</v>
      </c>
      <c r="BC20" s="45">
        <f t="shared" si="8"/>
        <v>3997.8</v>
      </c>
      <c r="BD20" s="45"/>
      <c r="BE20" s="45">
        <f t="shared" si="9"/>
        <v>-78.650000000000091</v>
      </c>
      <c r="BF20" s="39">
        <f t="shared" si="10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11"/>
        <v>3754.2</v>
      </c>
      <c r="U21" s="46">
        <v>3803.8</v>
      </c>
      <c r="V21" s="46"/>
      <c r="W21" s="46"/>
      <c r="X21" s="46">
        <v>3729.4</v>
      </c>
      <c r="Y21" s="46"/>
      <c r="Z21" s="46">
        <f t="shared" si="1"/>
        <v>24.799999999999727</v>
      </c>
      <c r="AA21" s="39">
        <f t="shared" si="2"/>
        <v>6.6059346864843988E-3</v>
      </c>
      <c r="AB21" s="73">
        <v>3766.35</v>
      </c>
      <c r="AC21" s="73">
        <v>3754.18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3754.18</v>
      </c>
      <c r="BC21" s="45">
        <f t="shared" si="8"/>
        <v>3729.4</v>
      </c>
      <c r="BD21" s="45"/>
      <c r="BE21" s="45">
        <f t="shared" si="9"/>
        <v>24.779999999999745</v>
      </c>
      <c r="BF21" s="39">
        <f t="shared" si="10"/>
        <v>6.6006424838446071E-3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11"/>
        <v>4049.8</v>
      </c>
      <c r="U22" s="46">
        <v>4062.6</v>
      </c>
      <c r="V22" s="46"/>
      <c r="W22" s="46"/>
      <c r="X22" s="46">
        <v>3931.6</v>
      </c>
      <c r="Y22" s="46"/>
      <c r="Z22" s="46">
        <f t="shared" si="1"/>
        <v>118.20000000000027</v>
      </c>
      <c r="AA22" s="39">
        <f t="shared" si="2"/>
        <v>2.9186626500074146E-2</v>
      </c>
      <c r="AB22" s="73">
        <v>4049.75</v>
      </c>
      <c r="AC22" s="73">
        <v>4049.75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4049.75</v>
      </c>
      <c r="BC22" s="45">
        <f t="shared" si="8"/>
        <v>3931.6</v>
      </c>
      <c r="BD22" s="45"/>
      <c r="BE22" s="45">
        <f t="shared" si="9"/>
        <v>118.15000000000009</v>
      </c>
      <c r="BF22" s="39">
        <f t="shared" si="10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11"/>
        <v>4044.5</v>
      </c>
      <c r="U23" s="46">
        <v>4060.4</v>
      </c>
      <c r="V23" s="46"/>
      <c r="W23" s="46"/>
      <c r="X23" s="46">
        <v>4171.8</v>
      </c>
      <c r="Y23" s="46"/>
      <c r="Z23" s="46">
        <f t="shared" si="1"/>
        <v>-127.30000000000018</v>
      </c>
      <c r="AA23" s="39">
        <f t="shared" si="2"/>
        <v>-3.14748423785388E-2</v>
      </c>
      <c r="AB23" s="73">
        <v>4044.5</v>
      </c>
      <c r="AC23" s="73">
        <v>4044.5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4044.5</v>
      </c>
      <c r="BC23" s="45">
        <f t="shared" si="8"/>
        <v>4171.8</v>
      </c>
      <c r="BD23" s="45"/>
      <c r="BE23" s="45">
        <f t="shared" si="9"/>
        <v>-127.30000000000018</v>
      </c>
      <c r="BF23" s="39">
        <f t="shared" si="10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11"/>
        <v>3714.4</v>
      </c>
      <c r="U24" s="46">
        <v>3718.8</v>
      </c>
      <c r="V24" s="46"/>
      <c r="W24" s="46"/>
      <c r="X24" s="46">
        <v>3789.4</v>
      </c>
      <c r="Y24" s="46"/>
      <c r="Z24" s="46">
        <f t="shared" si="1"/>
        <v>-75</v>
      </c>
      <c r="AA24" s="39">
        <f t="shared" si="2"/>
        <v>-2.0191686409648933E-2</v>
      </c>
      <c r="AB24" s="73">
        <v>3714.4</v>
      </c>
      <c r="AC24" s="73">
        <v>3714.4</v>
      </c>
      <c r="AD24" s="73"/>
      <c r="AE24" s="39"/>
      <c r="AF24" s="74"/>
      <c r="AG24" s="74"/>
      <c r="AH24" s="75"/>
      <c r="AI24" s="75">
        <f t="shared" si="12"/>
        <v>0</v>
      </c>
      <c r="AJ24" s="32"/>
      <c r="AK24" s="32"/>
      <c r="AL24" s="32"/>
      <c r="AM24" s="33"/>
      <c r="AN24" s="33"/>
      <c r="AO24" s="33"/>
      <c r="AP24" s="34">
        <f t="shared" si="13"/>
        <v>0</v>
      </c>
      <c r="AQ24" s="32">
        <f t="shared" si="14"/>
        <v>0</v>
      </c>
      <c r="AR24" s="32">
        <f t="shared" si="15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3714.4</v>
      </c>
      <c r="BC24" s="45">
        <f t="shared" si="8"/>
        <v>3789.4</v>
      </c>
      <c r="BD24" s="45"/>
      <c r="BE24" s="45">
        <f t="shared" si="9"/>
        <v>-75</v>
      </c>
      <c r="BF24" s="39">
        <f t="shared" si="10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11"/>
        <v>3885</v>
      </c>
      <c r="U25" s="46">
        <v>3999.2</v>
      </c>
      <c r="V25" s="46"/>
      <c r="W25" s="46"/>
      <c r="X25" s="46">
        <v>3785.2</v>
      </c>
      <c r="Y25" s="46"/>
      <c r="Z25" s="46">
        <f t="shared" si="1"/>
        <v>99.800000000000182</v>
      </c>
      <c r="AA25" s="39">
        <f t="shared" si="2"/>
        <v>2.5688545688545734E-2</v>
      </c>
      <c r="AB25" s="73">
        <v>3905.1</v>
      </c>
      <c r="AC25" s="73">
        <v>3884.95</v>
      </c>
      <c r="AD25" s="73"/>
      <c r="AE25" s="39"/>
      <c r="AF25" s="74"/>
      <c r="AG25" s="74"/>
      <c r="AH25" s="75"/>
      <c r="AI25" s="75">
        <f t="shared" si="12"/>
        <v>0</v>
      </c>
      <c r="AJ25" s="32"/>
      <c r="AK25" s="32"/>
      <c r="AL25" s="32"/>
      <c r="AM25" s="33"/>
      <c r="AN25" s="33"/>
      <c r="AO25" s="33"/>
      <c r="AP25" s="34">
        <f t="shared" si="13"/>
        <v>0</v>
      </c>
      <c r="AQ25" s="32">
        <f t="shared" si="14"/>
        <v>0</v>
      </c>
      <c r="AR25" s="32">
        <f t="shared" si="15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3884.95</v>
      </c>
      <c r="BC25" s="45">
        <f t="shared" si="8"/>
        <v>3785.2</v>
      </c>
      <c r="BD25" s="45"/>
      <c r="BE25" s="45">
        <f t="shared" si="9"/>
        <v>99.75</v>
      </c>
      <c r="BF25" s="39">
        <f t="shared" si="10"/>
        <v>2.5676006126204971E-2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11"/>
        <v>3684.6</v>
      </c>
      <c r="U26" s="46">
        <v>3705.2</v>
      </c>
      <c r="V26" s="46"/>
      <c r="W26" s="46"/>
      <c r="X26" s="46">
        <v>3665.8</v>
      </c>
      <c r="Y26" s="46"/>
      <c r="Z26" s="46">
        <f t="shared" si="1"/>
        <v>18.799999999999727</v>
      </c>
      <c r="AA26" s="39">
        <f t="shared" si="2"/>
        <v>5.1023177549801135E-3</v>
      </c>
      <c r="AB26" s="73">
        <v>3684.6</v>
      </c>
      <c r="AC26" s="73">
        <v>3684.6</v>
      </c>
      <c r="AD26" s="73"/>
      <c r="AE26" s="39"/>
      <c r="AF26" s="74"/>
      <c r="AG26" s="74"/>
      <c r="AH26" s="75"/>
      <c r="AI26" s="75">
        <f t="shared" si="12"/>
        <v>0</v>
      </c>
      <c r="AJ26" s="32"/>
      <c r="AK26" s="32"/>
      <c r="AL26" s="32"/>
      <c r="AM26" s="33"/>
      <c r="AN26" s="33"/>
      <c r="AO26" s="33"/>
      <c r="AP26" s="34">
        <f t="shared" si="13"/>
        <v>0</v>
      </c>
      <c r="AQ26" s="32">
        <f t="shared" si="14"/>
        <v>0</v>
      </c>
      <c r="AR26" s="32">
        <f t="shared" si="15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3684.6</v>
      </c>
      <c r="BC26" s="45">
        <f t="shared" si="8"/>
        <v>3665.8</v>
      </c>
      <c r="BD26" s="45"/>
      <c r="BE26" s="45">
        <f t="shared" si="9"/>
        <v>18.799999999999727</v>
      </c>
      <c r="BF26" s="39">
        <f t="shared" si="10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23">+R27-S27</f>
        <v>3910.1</v>
      </c>
      <c r="U27" s="46">
        <v>3918.2</v>
      </c>
      <c r="V27" s="46"/>
      <c r="W27" s="46"/>
      <c r="X27" s="46">
        <v>3988.4</v>
      </c>
      <c r="Y27" s="46"/>
      <c r="Z27" s="46">
        <f t="shared" si="1"/>
        <v>-78.300000000000182</v>
      </c>
      <c r="AA27" s="39">
        <f t="shared" si="2"/>
        <v>-2.0025063297613919E-2</v>
      </c>
      <c r="AB27" s="73">
        <v>3910.1</v>
      </c>
      <c r="AC27" s="73">
        <v>3910.1</v>
      </c>
      <c r="AD27" s="73"/>
      <c r="AE27" s="39"/>
      <c r="AF27" s="74"/>
      <c r="AG27" s="74"/>
      <c r="AH27" s="75"/>
      <c r="AI27" s="75">
        <f t="shared" ref="AI27:AI35" si="24">+AG27+AH27</f>
        <v>0</v>
      </c>
      <c r="AJ27" s="32"/>
      <c r="AK27" s="32"/>
      <c r="AL27" s="32"/>
      <c r="AM27" s="33"/>
      <c r="AN27" s="33"/>
      <c r="AO27" s="33"/>
      <c r="AP27" s="34">
        <f t="shared" ref="AP27:AP35" si="25">ROUNDUP((AO27-AM27+(AO27&lt;AM27))*24,0)</f>
        <v>0</v>
      </c>
      <c r="AQ27" s="32">
        <f t="shared" ref="AQ27:AQ35" si="26">IF(AP27&gt;5,(AP27-5),0)</f>
        <v>0</v>
      </c>
      <c r="AR27" s="32">
        <f t="shared" ref="AR27:AR35" si="27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3910.1</v>
      </c>
      <c r="BC27" s="45">
        <f t="shared" si="8"/>
        <v>3988.4</v>
      </c>
      <c r="BD27" s="45"/>
      <c r="BE27" s="45">
        <f t="shared" ref="BE27:BE35" si="28">+BB27-BC27</f>
        <v>-78.300000000000182</v>
      </c>
      <c r="BF27" s="39">
        <f t="shared" ref="BF27:BF35" si="29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23"/>
        <v>4031</v>
      </c>
      <c r="U28" s="46">
        <v>4050.4</v>
      </c>
      <c r="V28" s="46"/>
      <c r="W28" s="46"/>
      <c r="X28" s="46">
        <v>3923.8</v>
      </c>
      <c r="Y28" s="46"/>
      <c r="Z28" s="46">
        <f t="shared" si="1"/>
        <v>107.19999999999982</v>
      </c>
      <c r="AA28" s="39">
        <f t="shared" si="2"/>
        <v>2.6593897295956292E-2</v>
      </c>
      <c r="AB28" s="73">
        <v>4030.95</v>
      </c>
      <c r="AC28" s="73">
        <v>4030.95</v>
      </c>
      <c r="AD28" s="73"/>
      <c r="AE28" s="39"/>
      <c r="AF28" s="74"/>
      <c r="AG28" s="74"/>
      <c r="AH28" s="75"/>
      <c r="AI28" s="75">
        <f t="shared" si="24"/>
        <v>0</v>
      </c>
      <c r="AJ28" s="32"/>
      <c r="AK28" s="32"/>
      <c r="AL28" s="32"/>
      <c r="AM28" s="33"/>
      <c r="AN28" s="33"/>
      <c r="AO28" s="33"/>
      <c r="AP28" s="34">
        <f t="shared" si="25"/>
        <v>0</v>
      </c>
      <c r="AQ28" s="32">
        <f t="shared" si="26"/>
        <v>0</v>
      </c>
      <c r="AR28" s="32">
        <f t="shared" si="27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4030.95</v>
      </c>
      <c r="BC28" s="45">
        <f t="shared" si="8"/>
        <v>3923.8</v>
      </c>
      <c r="BD28" s="45"/>
      <c r="BE28" s="45">
        <f t="shared" si="28"/>
        <v>107.14999999999964</v>
      </c>
      <c r="BF28" s="39">
        <f t="shared" si="29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23"/>
        <v>3429.5</v>
      </c>
      <c r="U29" s="46">
        <v>3440.8</v>
      </c>
      <c r="V29" s="46"/>
      <c r="W29" s="46"/>
      <c r="X29" s="46">
        <v>3362</v>
      </c>
      <c r="Y29" s="46"/>
      <c r="Z29" s="46">
        <f t="shared" si="1"/>
        <v>67.5</v>
      </c>
      <c r="AA29" s="39">
        <f t="shared" si="2"/>
        <v>1.9682169412450795E-2</v>
      </c>
      <c r="AB29" s="73">
        <v>3429.45</v>
      </c>
      <c r="AC29" s="73">
        <v>3429.45</v>
      </c>
      <c r="AD29" s="73"/>
      <c r="AE29" s="39"/>
      <c r="AF29" s="74"/>
      <c r="AG29" s="74"/>
      <c r="AH29" s="75"/>
      <c r="AI29" s="75">
        <f t="shared" si="24"/>
        <v>0</v>
      </c>
      <c r="AJ29" s="32"/>
      <c r="AK29" s="32"/>
      <c r="AL29" s="32"/>
      <c r="AM29" s="33"/>
      <c r="AN29" s="33"/>
      <c r="AO29" s="33"/>
      <c r="AP29" s="34">
        <f t="shared" si="25"/>
        <v>0</v>
      </c>
      <c r="AQ29" s="32">
        <f t="shared" si="26"/>
        <v>0</v>
      </c>
      <c r="AR29" s="32">
        <f t="shared" si="27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3429.45</v>
      </c>
      <c r="BC29" s="45">
        <f t="shared" si="8"/>
        <v>3362</v>
      </c>
      <c r="BD29" s="45"/>
      <c r="BE29" s="45">
        <f t="shared" si="28"/>
        <v>67.449999999999818</v>
      </c>
      <c r="BF29" s="39">
        <f t="shared" si="29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23"/>
        <v>4078</v>
      </c>
      <c r="U30" s="46">
        <v>4078.2</v>
      </c>
      <c r="V30" s="46"/>
      <c r="W30" s="46"/>
      <c r="X30" s="46">
        <v>4099.8</v>
      </c>
      <c r="Y30" s="46"/>
      <c r="Z30" s="46">
        <f t="shared" si="1"/>
        <v>-21.800000000000182</v>
      </c>
      <c r="AA30" s="39">
        <f t="shared" si="2"/>
        <v>-5.3457577243747377E-3</v>
      </c>
      <c r="AB30" s="73">
        <v>4077.95</v>
      </c>
      <c r="AC30" s="73">
        <v>4077.95</v>
      </c>
      <c r="AD30" s="73"/>
      <c r="AE30" s="39"/>
      <c r="AF30" s="74"/>
      <c r="AG30" s="74"/>
      <c r="AH30" s="75"/>
      <c r="AI30" s="75">
        <f t="shared" si="24"/>
        <v>0</v>
      </c>
      <c r="AJ30" s="32"/>
      <c r="AK30" s="32"/>
      <c r="AL30" s="32"/>
      <c r="AM30" s="33"/>
      <c r="AN30" s="33"/>
      <c r="AO30" s="33"/>
      <c r="AP30" s="34">
        <f t="shared" si="25"/>
        <v>0</v>
      </c>
      <c r="AQ30" s="32">
        <f t="shared" si="26"/>
        <v>0</v>
      </c>
      <c r="AR30" s="32">
        <f t="shared" si="27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4077.95</v>
      </c>
      <c r="BC30" s="45">
        <f t="shared" si="8"/>
        <v>4099.8</v>
      </c>
      <c r="BD30" s="45"/>
      <c r="BE30" s="45">
        <f t="shared" si="28"/>
        <v>-21.850000000000364</v>
      </c>
      <c r="BF30" s="39">
        <f t="shared" si="29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23"/>
        <v>3907.2</v>
      </c>
      <c r="U31" s="46">
        <v>3916.8</v>
      </c>
      <c r="V31" s="46"/>
      <c r="W31" s="46"/>
      <c r="X31" s="46">
        <v>3884.21</v>
      </c>
      <c r="Y31" s="46"/>
      <c r="Z31" s="46">
        <f t="shared" si="1"/>
        <v>22.989999999999782</v>
      </c>
      <c r="AA31" s="39">
        <f t="shared" si="2"/>
        <v>5.8840090090089532E-3</v>
      </c>
      <c r="AB31" s="73">
        <v>3907.2</v>
      </c>
      <c r="AC31" s="73">
        <v>3907.2</v>
      </c>
      <c r="AD31" s="73"/>
      <c r="AE31" s="39"/>
      <c r="AF31" s="74"/>
      <c r="AG31" s="74"/>
      <c r="AH31" s="75"/>
      <c r="AI31" s="75">
        <f t="shared" si="24"/>
        <v>0</v>
      </c>
      <c r="AJ31" s="32"/>
      <c r="AK31" s="32"/>
      <c r="AL31" s="32"/>
      <c r="AM31" s="33"/>
      <c r="AN31" s="33"/>
      <c r="AO31" s="33"/>
      <c r="AP31" s="34">
        <f t="shared" si="25"/>
        <v>0</v>
      </c>
      <c r="AQ31" s="32">
        <f t="shared" si="26"/>
        <v>0</v>
      </c>
      <c r="AR31" s="32">
        <f t="shared" si="27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3907.2</v>
      </c>
      <c r="BC31" s="45">
        <f t="shared" si="8"/>
        <v>3884.21</v>
      </c>
      <c r="BD31" s="45"/>
      <c r="BE31" s="45">
        <f t="shared" si="28"/>
        <v>22.989999999999782</v>
      </c>
      <c r="BF31" s="39">
        <f t="shared" si="29"/>
        <v>5.8840090090089532E-3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23"/>
        <v>3982.3</v>
      </c>
      <c r="U32" s="46">
        <v>3990.4</v>
      </c>
      <c r="V32" s="46"/>
      <c r="W32" s="46"/>
      <c r="X32" s="46">
        <v>3944.4</v>
      </c>
      <c r="Y32" s="46"/>
      <c r="Z32" s="46">
        <f t="shared" si="1"/>
        <v>37.900000000000091</v>
      </c>
      <c r="AA32" s="39">
        <f t="shared" si="2"/>
        <v>9.5171132260251836E-3</v>
      </c>
      <c r="AB32" s="73">
        <v>3982.3</v>
      </c>
      <c r="AC32" s="73">
        <v>3982.3</v>
      </c>
      <c r="AD32" s="73"/>
      <c r="AE32" s="39"/>
      <c r="AF32" s="74"/>
      <c r="AG32" s="74"/>
      <c r="AH32" s="75"/>
      <c r="AI32" s="75">
        <f t="shared" si="24"/>
        <v>0</v>
      </c>
      <c r="AJ32" s="32"/>
      <c r="AK32" s="32"/>
      <c r="AL32" s="32"/>
      <c r="AM32" s="33"/>
      <c r="AN32" s="33"/>
      <c r="AO32" s="33"/>
      <c r="AP32" s="34">
        <f t="shared" si="25"/>
        <v>0</v>
      </c>
      <c r="AQ32" s="32">
        <f t="shared" si="26"/>
        <v>0</v>
      </c>
      <c r="AR32" s="32">
        <f t="shared" si="27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3982.3</v>
      </c>
      <c r="BC32" s="45">
        <f t="shared" si="8"/>
        <v>3944.4</v>
      </c>
      <c r="BD32" s="45"/>
      <c r="BE32" s="45">
        <f t="shared" si="28"/>
        <v>37.900000000000091</v>
      </c>
      <c r="BF32" s="39">
        <f t="shared" si="29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23"/>
        <v>3995.9</v>
      </c>
      <c r="U33" s="46">
        <v>3998.6</v>
      </c>
      <c r="V33" s="46"/>
      <c r="W33" s="46"/>
      <c r="X33" s="46">
        <v>4022.2</v>
      </c>
      <c r="Y33" s="46"/>
      <c r="Z33" s="46">
        <f t="shared" si="1"/>
        <v>-26.299999999999727</v>
      </c>
      <c r="AA33" s="39">
        <f t="shared" si="2"/>
        <v>-6.5817462899471274E-3</v>
      </c>
      <c r="AB33" s="73">
        <v>4188.25</v>
      </c>
      <c r="AC33" s="73">
        <v>3995.85</v>
      </c>
      <c r="AD33" s="73"/>
      <c r="AE33" s="39"/>
      <c r="AF33" s="74"/>
      <c r="AG33" s="74"/>
      <c r="AH33" s="75"/>
      <c r="AI33" s="75">
        <f t="shared" si="24"/>
        <v>0</v>
      </c>
      <c r="AJ33" s="32"/>
      <c r="AK33" s="32"/>
      <c r="AL33" s="32"/>
      <c r="AM33" s="33"/>
      <c r="AN33" s="33"/>
      <c r="AO33" s="33"/>
      <c r="AP33" s="34">
        <f t="shared" si="25"/>
        <v>0</v>
      </c>
      <c r="AQ33" s="32">
        <f t="shared" si="26"/>
        <v>0</v>
      </c>
      <c r="AR33" s="32">
        <f t="shared" si="27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3995.85</v>
      </c>
      <c r="BC33" s="45">
        <f t="shared" si="8"/>
        <v>4022.2</v>
      </c>
      <c r="BD33" s="45"/>
      <c r="BE33" s="45">
        <f t="shared" si="28"/>
        <v>-26.349999999999909</v>
      </c>
      <c r="BF33" s="39">
        <f t="shared" si="29"/>
        <v>-6.5943416294405224E-3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23"/>
        <v>3551.4</v>
      </c>
      <c r="U34" s="46">
        <v>3569.6</v>
      </c>
      <c r="V34" s="46"/>
      <c r="W34" s="46"/>
      <c r="X34" s="46">
        <v>3585.4</v>
      </c>
      <c r="Y34" s="46"/>
      <c r="Z34" s="46">
        <f t="shared" si="1"/>
        <v>-34</v>
      </c>
      <c r="AA34" s="39">
        <f t="shared" si="2"/>
        <v>-9.5736892493101314E-3</v>
      </c>
      <c r="AB34" s="73">
        <v>3551.35</v>
      </c>
      <c r="AC34" s="73">
        <v>3551.35</v>
      </c>
      <c r="AD34" s="73"/>
      <c r="AE34" s="39"/>
      <c r="AF34" s="74"/>
      <c r="AG34" s="74"/>
      <c r="AH34" s="75"/>
      <c r="AI34" s="75">
        <f t="shared" si="24"/>
        <v>0</v>
      </c>
      <c r="AJ34" s="32"/>
      <c r="AK34" s="32"/>
      <c r="AL34" s="32"/>
      <c r="AM34" s="33"/>
      <c r="AN34" s="33"/>
      <c r="AO34" s="33"/>
      <c r="AP34" s="34">
        <f t="shared" si="25"/>
        <v>0</v>
      </c>
      <c r="AQ34" s="32">
        <f t="shared" si="26"/>
        <v>0</v>
      </c>
      <c r="AR34" s="32">
        <f t="shared" si="27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3551.35</v>
      </c>
      <c r="BC34" s="45">
        <f t="shared" si="8"/>
        <v>3585.4</v>
      </c>
      <c r="BD34" s="45"/>
      <c r="BE34" s="45">
        <f t="shared" si="28"/>
        <v>-34.050000000000182</v>
      </c>
      <c r="BF34" s="39">
        <f t="shared" si="29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23"/>
        <v>3855.5</v>
      </c>
      <c r="U35" s="46">
        <v>3862</v>
      </c>
      <c r="V35" s="46"/>
      <c r="W35" s="46"/>
      <c r="X35" s="46">
        <v>3969</v>
      </c>
      <c r="Y35" s="46"/>
      <c r="Z35" s="46">
        <f t="shared" si="1"/>
        <v>-113.5</v>
      </c>
      <c r="AA35" s="39">
        <f t="shared" si="2"/>
        <v>-2.9438464531189212E-2</v>
      </c>
      <c r="AB35" s="73">
        <v>3855.45</v>
      </c>
      <c r="AC35" s="73">
        <v>3855.45</v>
      </c>
      <c r="AD35" s="73"/>
      <c r="AE35" s="39"/>
      <c r="AF35" s="74"/>
      <c r="AG35" s="74"/>
      <c r="AH35" s="75"/>
      <c r="AI35" s="75">
        <f t="shared" si="24"/>
        <v>0</v>
      </c>
      <c r="AJ35" s="32"/>
      <c r="AK35" s="32"/>
      <c r="AL35" s="32"/>
      <c r="AM35" s="33"/>
      <c r="AN35" s="33"/>
      <c r="AO35" s="33"/>
      <c r="AP35" s="34">
        <f t="shared" si="25"/>
        <v>0</v>
      </c>
      <c r="AQ35" s="32">
        <f t="shared" si="26"/>
        <v>0</v>
      </c>
      <c r="AR35" s="32">
        <f t="shared" si="27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3855.45</v>
      </c>
      <c r="BC35" s="45">
        <f t="shared" si="8"/>
        <v>3969</v>
      </c>
      <c r="BD35" s="45"/>
      <c r="BE35" s="45">
        <f t="shared" si="28"/>
        <v>-113.55000000000018</v>
      </c>
      <c r="BF35" s="39">
        <f t="shared" si="29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11"/>
        <v>3903.1</v>
      </c>
      <c r="U36" s="46">
        <v>3912.8</v>
      </c>
      <c r="V36" s="46"/>
      <c r="W36" s="46"/>
      <c r="X36" s="46">
        <v>3800.4</v>
      </c>
      <c r="Y36" s="46"/>
      <c r="Z36" s="46">
        <f t="shared" si="1"/>
        <v>102.69999999999982</v>
      </c>
      <c r="AA36" s="39">
        <f t="shared" si="2"/>
        <v>2.6312418334144608E-2</v>
      </c>
      <c r="AB36" s="73">
        <v>3903.05</v>
      </c>
      <c r="AC36" s="73">
        <v>3903.05</v>
      </c>
      <c r="AD36" s="73"/>
      <c r="AE36" s="39"/>
      <c r="AF36" s="74"/>
      <c r="AG36" s="74"/>
      <c r="AH36" s="75"/>
      <c r="AI36" s="75">
        <f t="shared" si="12"/>
        <v>0</v>
      </c>
      <c r="AJ36" s="32"/>
      <c r="AK36" s="32"/>
      <c r="AL36" s="32"/>
      <c r="AM36" s="33"/>
      <c r="AN36" s="33"/>
      <c r="AO36" s="33"/>
      <c r="AP36" s="34">
        <f t="shared" si="13"/>
        <v>0</v>
      </c>
      <c r="AQ36" s="32">
        <f t="shared" si="14"/>
        <v>0</v>
      </c>
      <c r="AR36" s="32">
        <f t="shared" si="15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3903.05</v>
      </c>
      <c r="BC36" s="45">
        <f t="shared" si="8"/>
        <v>3800.4</v>
      </c>
      <c r="BD36" s="45"/>
      <c r="BE36" s="45">
        <f t="shared" si="9"/>
        <v>102.65000000000009</v>
      </c>
      <c r="BF36" s="39">
        <f t="shared" si="10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11"/>
        <v>3841.9</v>
      </c>
      <c r="U37" s="46">
        <v>3854.8</v>
      </c>
      <c r="V37" s="46"/>
      <c r="W37" s="46"/>
      <c r="X37" s="46">
        <v>3788.6</v>
      </c>
      <c r="Y37" s="46"/>
      <c r="Z37" s="46">
        <f t="shared" si="1"/>
        <v>53.300000000000182</v>
      </c>
      <c r="AA37" s="39">
        <f t="shared" si="2"/>
        <v>1.3873343918373769E-2</v>
      </c>
      <c r="AB37" s="73">
        <v>3841.85</v>
      </c>
      <c r="AC37" s="73">
        <v>3841.85</v>
      </c>
      <c r="AD37" s="73"/>
      <c r="AE37" s="39"/>
      <c r="AF37" s="74"/>
      <c r="AG37" s="74"/>
      <c r="AH37" s="75"/>
      <c r="AI37" s="75">
        <f t="shared" si="12"/>
        <v>0</v>
      </c>
      <c r="AJ37" s="32"/>
      <c r="AK37" s="32"/>
      <c r="AL37" s="32"/>
      <c r="AM37" s="33"/>
      <c r="AN37" s="33"/>
      <c r="AO37" s="33"/>
      <c r="AP37" s="34">
        <f t="shared" si="13"/>
        <v>0</v>
      </c>
      <c r="AQ37" s="32">
        <f t="shared" si="14"/>
        <v>0</v>
      </c>
      <c r="AR37" s="32">
        <f t="shared" si="15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3841.85</v>
      </c>
      <c r="BC37" s="45">
        <f t="shared" si="8"/>
        <v>3788.6</v>
      </c>
      <c r="BD37" s="45"/>
      <c r="BE37" s="45">
        <f t="shared" si="9"/>
        <v>53.25</v>
      </c>
      <c r="BF37" s="39">
        <f t="shared" si="10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11"/>
        <v>3934</v>
      </c>
      <c r="U38" s="46">
        <v>3957.4</v>
      </c>
      <c r="V38" s="46"/>
      <c r="W38" s="46"/>
      <c r="X38" s="46">
        <v>4142</v>
      </c>
      <c r="Y38" s="46"/>
      <c r="Z38" s="46">
        <f t="shared" ref="Z38:Z69" si="30">+T38-X38</f>
        <v>-208</v>
      </c>
      <c r="AA38" s="39">
        <f t="shared" ref="AA38:AA69" si="31">Z38/T38</f>
        <v>-5.2872394509405188E-2</v>
      </c>
      <c r="AB38" s="73">
        <v>4057.01</v>
      </c>
      <c r="AC38" s="73">
        <v>4051.61</v>
      </c>
      <c r="AD38" s="73"/>
      <c r="AE38" s="39"/>
      <c r="AF38" s="74"/>
      <c r="AG38" s="74"/>
      <c r="AH38" s="75"/>
      <c r="AI38" s="75">
        <f t="shared" si="12"/>
        <v>0</v>
      </c>
      <c r="AJ38" s="32"/>
      <c r="AK38" s="32"/>
      <c r="AL38" s="32"/>
      <c r="AM38" s="33"/>
      <c r="AN38" s="33"/>
      <c r="AO38" s="33"/>
      <c r="AP38" s="34">
        <f t="shared" si="13"/>
        <v>0</v>
      </c>
      <c r="AQ38" s="32">
        <f t="shared" si="14"/>
        <v>0</v>
      </c>
      <c r="AR38" s="32">
        <f t="shared" si="15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32">IF(AND(AB38="",AC38=""),T38,IF(AC38="",AB38,AC38))</f>
        <v>4051.61</v>
      </c>
      <c r="BC38" s="45">
        <f t="shared" ref="BC38:BC69" si="33">+X38</f>
        <v>4142</v>
      </c>
      <c r="BD38" s="45"/>
      <c r="BE38" s="45">
        <f t="shared" si="9"/>
        <v>-90.389999999999873</v>
      </c>
      <c r="BF38" s="39">
        <f t="shared" si="10"/>
        <v>-2.2309649744175739E-2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11"/>
        <v>3973.8</v>
      </c>
      <c r="U39" s="46">
        <v>3990.4</v>
      </c>
      <c r="V39" s="46"/>
      <c r="W39" s="46"/>
      <c r="X39" s="46">
        <v>3862.8</v>
      </c>
      <c r="Y39" s="46"/>
      <c r="Z39" s="46">
        <f t="shared" si="30"/>
        <v>111</v>
      </c>
      <c r="AA39" s="39">
        <f t="shared" si="31"/>
        <v>2.7932960893854747E-2</v>
      </c>
      <c r="AB39" s="73">
        <v>3973.75</v>
      </c>
      <c r="AC39" s="73">
        <v>3973.75</v>
      </c>
      <c r="AD39" s="73"/>
      <c r="AE39" s="39"/>
      <c r="AF39" s="74"/>
      <c r="AG39" s="74"/>
      <c r="AH39" s="75"/>
      <c r="AI39" s="75">
        <f t="shared" si="12"/>
        <v>0</v>
      </c>
      <c r="AJ39" s="32"/>
      <c r="AK39" s="32"/>
      <c r="AL39" s="32"/>
      <c r="AM39" s="33"/>
      <c r="AN39" s="33"/>
      <c r="AO39" s="33"/>
      <c r="AP39" s="34">
        <f t="shared" si="13"/>
        <v>0</v>
      </c>
      <c r="AQ39" s="32">
        <f t="shared" si="14"/>
        <v>0</v>
      </c>
      <c r="AR39" s="32">
        <f t="shared" si="15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32"/>
        <v>3973.75</v>
      </c>
      <c r="BC39" s="45">
        <f t="shared" si="33"/>
        <v>3862.8</v>
      </c>
      <c r="BD39" s="45"/>
      <c r="BE39" s="45">
        <f t="shared" si="9"/>
        <v>110.94999999999982</v>
      </c>
      <c r="BF39" s="39">
        <f t="shared" si="10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11"/>
        <v>3737.7</v>
      </c>
      <c r="U40" s="46">
        <v>3753.6</v>
      </c>
      <c r="V40" s="46"/>
      <c r="W40" s="46"/>
      <c r="X40" s="46">
        <v>3936</v>
      </c>
      <c r="Y40" s="46"/>
      <c r="Z40" s="46">
        <f t="shared" si="30"/>
        <v>-198.30000000000018</v>
      </c>
      <c r="AA40" s="39">
        <f t="shared" si="31"/>
        <v>-5.3054017176338439E-2</v>
      </c>
      <c r="AB40" s="73">
        <v>3765.15</v>
      </c>
      <c r="AC40" s="73">
        <v>3737.68</v>
      </c>
      <c r="AD40" s="73"/>
      <c r="AE40" s="39"/>
      <c r="AF40" s="74"/>
      <c r="AG40" s="74"/>
      <c r="AH40" s="75"/>
      <c r="AI40" s="75">
        <f t="shared" si="12"/>
        <v>0</v>
      </c>
      <c r="AJ40" s="32"/>
      <c r="AK40" s="32"/>
      <c r="AL40" s="32"/>
      <c r="AM40" s="33"/>
      <c r="AN40" s="33"/>
      <c r="AO40" s="33"/>
      <c r="AP40" s="34">
        <f t="shared" si="13"/>
        <v>0</v>
      </c>
      <c r="AQ40" s="32">
        <f t="shared" si="14"/>
        <v>0</v>
      </c>
      <c r="AR40" s="32">
        <f t="shared" si="15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32"/>
        <v>3737.68</v>
      </c>
      <c r="BC40" s="45">
        <f t="shared" si="33"/>
        <v>3936</v>
      </c>
      <c r="BD40" s="45"/>
      <c r="BE40" s="45">
        <f t="shared" si="9"/>
        <v>-198.32000000000016</v>
      </c>
      <c r="BF40" s="39">
        <f t="shared" si="10"/>
        <v>-5.3059651976627258E-2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11"/>
        <v>3785.3</v>
      </c>
      <c r="U41" s="46">
        <v>3787.8</v>
      </c>
      <c r="V41" s="46"/>
      <c r="W41" s="46"/>
      <c r="X41" s="46">
        <v>3668.8</v>
      </c>
      <c r="Y41" s="46"/>
      <c r="Z41" s="46">
        <f t="shared" si="30"/>
        <v>116.5</v>
      </c>
      <c r="AA41" s="39">
        <f t="shared" si="31"/>
        <v>3.0776952949568063E-2</v>
      </c>
      <c r="AB41" s="73">
        <v>3785.25</v>
      </c>
      <c r="AC41" s="73">
        <v>3785.25</v>
      </c>
      <c r="AD41" s="73"/>
      <c r="AE41" s="39"/>
      <c r="AF41" s="74"/>
      <c r="AG41" s="74"/>
      <c r="AH41" s="75"/>
      <c r="AI41" s="75">
        <f t="shared" si="12"/>
        <v>0</v>
      </c>
      <c r="AJ41" s="32"/>
      <c r="AK41" s="32"/>
      <c r="AL41" s="32"/>
      <c r="AM41" s="33"/>
      <c r="AN41" s="33"/>
      <c r="AO41" s="33"/>
      <c r="AP41" s="34">
        <f t="shared" si="13"/>
        <v>0</v>
      </c>
      <c r="AQ41" s="32">
        <f t="shared" si="14"/>
        <v>0</v>
      </c>
      <c r="AR41" s="32">
        <f t="shared" si="15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32"/>
        <v>3785.25</v>
      </c>
      <c r="BC41" s="45">
        <f t="shared" si="33"/>
        <v>3668.8</v>
      </c>
      <c r="BD41" s="45"/>
      <c r="BE41" s="45">
        <f t="shared" si="9"/>
        <v>116.44999999999982</v>
      </c>
      <c r="BF41" s="39">
        <f t="shared" si="10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11"/>
        <v>3692.5</v>
      </c>
      <c r="U42" s="46">
        <v>3711</v>
      </c>
      <c r="V42" s="46"/>
      <c r="W42" s="46"/>
      <c r="X42" s="46">
        <v>3548.4</v>
      </c>
      <c r="Y42" s="46"/>
      <c r="Z42" s="46">
        <f t="shared" si="30"/>
        <v>144.09999999999991</v>
      </c>
      <c r="AA42" s="39">
        <f t="shared" si="31"/>
        <v>3.9025050778605255E-2</v>
      </c>
      <c r="AB42" s="73">
        <v>3692.5</v>
      </c>
      <c r="AC42" s="73">
        <v>3692.5</v>
      </c>
      <c r="AD42" s="73"/>
      <c r="AE42" s="39"/>
      <c r="AF42" s="74"/>
      <c r="AG42" s="74"/>
      <c r="AH42" s="75"/>
      <c r="AI42" s="75">
        <f t="shared" si="12"/>
        <v>0</v>
      </c>
      <c r="AJ42" s="32"/>
      <c r="AK42" s="32"/>
      <c r="AL42" s="32"/>
      <c r="AM42" s="33"/>
      <c r="AN42" s="33"/>
      <c r="AO42" s="33"/>
      <c r="AP42" s="34">
        <f t="shared" si="13"/>
        <v>0</v>
      </c>
      <c r="AQ42" s="32">
        <f t="shared" si="14"/>
        <v>0</v>
      </c>
      <c r="AR42" s="32">
        <f t="shared" si="15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32"/>
        <v>3692.5</v>
      </c>
      <c r="BC42" s="45">
        <f t="shared" si="33"/>
        <v>3548.4</v>
      </c>
      <c r="BD42" s="45"/>
      <c r="BE42" s="45">
        <f t="shared" si="9"/>
        <v>144.09999999999991</v>
      </c>
      <c r="BF42" s="39">
        <f t="shared" si="10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11"/>
        <v>3738.9</v>
      </c>
      <c r="U43" s="46">
        <v>3788.4</v>
      </c>
      <c r="V43" s="46"/>
      <c r="W43" s="46"/>
      <c r="X43" s="46">
        <v>3763</v>
      </c>
      <c r="Y43" s="46"/>
      <c r="Z43" s="46">
        <f t="shared" si="30"/>
        <v>-24.099999999999909</v>
      </c>
      <c r="AA43" s="39">
        <f t="shared" si="31"/>
        <v>-6.4457460750487871E-3</v>
      </c>
      <c r="AB43" s="73">
        <v>3770.26</v>
      </c>
      <c r="AC43" s="73">
        <v>3738.9</v>
      </c>
      <c r="AD43" s="73"/>
      <c r="AE43" s="39"/>
      <c r="AF43" s="74"/>
      <c r="AG43" s="74"/>
      <c r="AH43" s="75"/>
      <c r="AI43" s="75">
        <f t="shared" si="12"/>
        <v>0</v>
      </c>
      <c r="AJ43" s="32"/>
      <c r="AK43" s="32"/>
      <c r="AL43" s="32"/>
      <c r="AM43" s="33"/>
      <c r="AN43" s="33"/>
      <c r="AO43" s="33"/>
      <c r="AP43" s="34">
        <f t="shared" si="13"/>
        <v>0</v>
      </c>
      <c r="AQ43" s="32">
        <f t="shared" si="14"/>
        <v>0</v>
      </c>
      <c r="AR43" s="32">
        <f t="shared" si="15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32"/>
        <v>3738.9</v>
      </c>
      <c r="BC43" s="45">
        <f t="shared" si="33"/>
        <v>3763</v>
      </c>
      <c r="BD43" s="45"/>
      <c r="BE43" s="45">
        <f t="shared" si="9"/>
        <v>-24.099999999999909</v>
      </c>
      <c r="BF43" s="39">
        <f t="shared" si="10"/>
        <v>-6.4457460750487871E-3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11"/>
        <v>3874.6</v>
      </c>
      <c r="U44" s="46">
        <v>3904.6</v>
      </c>
      <c r="V44" s="46"/>
      <c r="W44" s="46"/>
      <c r="X44" s="46">
        <v>3772</v>
      </c>
      <c r="Y44" s="46"/>
      <c r="Z44" s="46">
        <f t="shared" si="30"/>
        <v>102.59999999999991</v>
      </c>
      <c r="AA44" s="39">
        <f t="shared" si="31"/>
        <v>2.6480152789965392E-2</v>
      </c>
      <c r="AB44" s="73">
        <v>3874.6</v>
      </c>
      <c r="AC44" s="73">
        <v>3874.6</v>
      </c>
      <c r="AD44" s="73"/>
      <c r="AE44" s="39"/>
      <c r="AF44" s="74"/>
      <c r="AG44" s="74"/>
      <c r="AH44" s="75"/>
      <c r="AI44" s="75">
        <f t="shared" si="12"/>
        <v>0</v>
      </c>
      <c r="AJ44" s="32"/>
      <c r="AK44" s="32"/>
      <c r="AL44" s="32"/>
      <c r="AM44" s="33"/>
      <c r="AN44" s="33"/>
      <c r="AO44" s="33"/>
      <c r="AP44" s="34">
        <f t="shared" si="13"/>
        <v>0</v>
      </c>
      <c r="AQ44" s="32">
        <f t="shared" si="14"/>
        <v>0</v>
      </c>
      <c r="AR44" s="32">
        <f t="shared" si="15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32"/>
        <v>3874.6</v>
      </c>
      <c r="BC44" s="45">
        <f t="shared" si="33"/>
        <v>3772</v>
      </c>
      <c r="BD44" s="45"/>
      <c r="BE44" s="45">
        <f t="shared" si="9"/>
        <v>102.59999999999991</v>
      </c>
      <c r="BF44" s="39">
        <f t="shared" si="10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11"/>
        <v>3929.5</v>
      </c>
      <c r="U45" s="46">
        <v>3932</v>
      </c>
      <c r="V45" s="46"/>
      <c r="W45" s="46"/>
      <c r="X45" s="46">
        <v>3857.6</v>
      </c>
      <c r="Y45" s="46"/>
      <c r="Z45" s="46">
        <f t="shared" si="30"/>
        <v>71.900000000000091</v>
      </c>
      <c r="AA45" s="39">
        <f t="shared" si="31"/>
        <v>1.8297493319760806E-2</v>
      </c>
      <c r="AB45" s="73">
        <v>3929.5</v>
      </c>
      <c r="AC45" s="73">
        <v>3929.5</v>
      </c>
      <c r="AD45" s="73"/>
      <c r="AE45" s="39"/>
      <c r="AF45" s="74"/>
      <c r="AG45" s="74"/>
      <c r="AH45" s="75"/>
      <c r="AI45" s="75">
        <f t="shared" si="12"/>
        <v>0</v>
      </c>
      <c r="AJ45" s="32"/>
      <c r="AK45" s="32"/>
      <c r="AL45" s="32"/>
      <c r="AM45" s="33"/>
      <c r="AN45" s="33"/>
      <c r="AO45" s="33"/>
      <c r="AP45" s="34">
        <f t="shared" si="13"/>
        <v>0</v>
      </c>
      <c r="AQ45" s="32">
        <f t="shared" si="14"/>
        <v>0</v>
      </c>
      <c r="AR45" s="32">
        <f t="shared" si="15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32"/>
        <v>3929.5</v>
      </c>
      <c r="BC45" s="45">
        <f t="shared" si="33"/>
        <v>3857.6</v>
      </c>
      <c r="BD45" s="45"/>
      <c r="BE45" s="45">
        <f t="shared" si="9"/>
        <v>71.900000000000091</v>
      </c>
      <c r="BF45" s="39">
        <f t="shared" si="10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11"/>
        <v>3818.8</v>
      </c>
      <c r="U46" s="46">
        <v>3840.8</v>
      </c>
      <c r="V46" s="46"/>
      <c r="W46" s="46"/>
      <c r="X46" s="46">
        <v>3734.4</v>
      </c>
      <c r="Y46" s="46"/>
      <c r="Z46" s="46">
        <f t="shared" si="30"/>
        <v>84.400000000000091</v>
      </c>
      <c r="AA46" s="39">
        <f t="shared" si="31"/>
        <v>2.2101183617890461E-2</v>
      </c>
      <c r="AB46" s="73">
        <v>3818.8</v>
      </c>
      <c r="AC46" s="73">
        <v>3818.8</v>
      </c>
      <c r="AD46" s="73"/>
      <c r="AE46" s="39"/>
      <c r="AF46" s="74"/>
      <c r="AG46" s="74"/>
      <c r="AH46" s="75"/>
      <c r="AI46" s="75">
        <f t="shared" si="12"/>
        <v>0</v>
      </c>
      <c r="AJ46" s="32"/>
      <c r="AK46" s="32"/>
      <c r="AL46" s="32"/>
      <c r="AM46" s="33"/>
      <c r="AN46" s="33"/>
      <c r="AO46" s="33"/>
      <c r="AP46" s="34">
        <f t="shared" si="13"/>
        <v>0</v>
      </c>
      <c r="AQ46" s="32">
        <f t="shared" si="14"/>
        <v>0</v>
      </c>
      <c r="AR46" s="32">
        <f t="shared" si="15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32"/>
        <v>3818.8</v>
      </c>
      <c r="BC46" s="45">
        <f t="shared" si="33"/>
        <v>3734.4</v>
      </c>
      <c r="BD46" s="45"/>
      <c r="BE46" s="45">
        <f t="shared" si="9"/>
        <v>84.400000000000091</v>
      </c>
      <c r="BF46" s="39">
        <f t="shared" si="10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11"/>
        <v>3992.3</v>
      </c>
      <c r="U47" s="46">
        <v>3996.8</v>
      </c>
      <c r="V47" s="46"/>
      <c r="W47" s="46"/>
      <c r="X47" s="46">
        <v>3907.2</v>
      </c>
      <c r="Y47" s="46"/>
      <c r="Z47" s="46">
        <f t="shared" si="30"/>
        <v>85.100000000000364</v>
      </c>
      <c r="AA47" s="39">
        <f t="shared" si="31"/>
        <v>2.1316033364226227E-2</v>
      </c>
      <c r="AB47" s="73">
        <v>3992.25</v>
      </c>
      <c r="AC47" s="73">
        <v>3992.25</v>
      </c>
      <c r="AD47" s="73"/>
      <c r="AE47" s="39"/>
      <c r="AF47" s="74"/>
      <c r="AG47" s="74"/>
      <c r="AH47" s="75"/>
      <c r="AI47" s="75">
        <f t="shared" si="12"/>
        <v>0</v>
      </c>
      <c r="AJ47" s="32"/>
      <c r="AK47" s="32"/>
      <c r="AL47" s="32"/>
      <c r="AM47" s="33"/>
      <c r="AN47" s="33"/>
      <c r="AO47" s="33"/>
      <c r="AP47" s="34">
        <f t="shared" si="13"/>
        <v>0</v>
      </c>
      <c r="AQ47" s="32">
        <f t="shared" si="14"/>
        <v>0</v>
      </c>
      <c r="AR47" s="32">
        <f t="shared" si="15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32"/>
        <v>3992.25</v>
      </c>
      <c r="BC47" s="45">
        <f t="shared" si="33"/>
        <v>3907.2</v>
      </c>
      <c r="BD47" s="45"/>
      <c r="BE47" s="45">
        <f t="shared" si="9"/>
        <v>85.050000000000182</v>
      </c>
      <c r="BF47" s="39">
        <f t="shared" si="10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11"/>
        <v>3959.3</v>
      </c>
      <c r="U48" s="46">
        <v>4032.2</v>
      </c>
      <c r="V48" s="46"/>
      <c r="W48" s="46"/>
      <c r="X48" s="46">
        <v>3892</v>
      </c>
      <c r="Y48" s="46"/>
      <c r="Z48" s="46">
        <f t="shared" si="30"/>
        <v>67.300000000000182</v>
      </c>
      <c r="AA48" s="39">
        <f t="shared" si="31"/>
        <v>1.6997954183820416E-2</v>
      </c>
      <c r="AB48" s="73">
        <v>3964.47</v>
      </c>
      <c r="AC48" s="73">
        <v>3959.27</v>
      </c>
      <c r="AD48" s="73"/>
      <c r="AE48" s="39"/>
      <c r="AF48" s="74"/>
      <c r="AG48" s="74"/>
      <c r="AH48" s="75"/>
      <c r="AI48" s="75">
        <f t="shared" si="12"/>
        <v>0</v>
      </c>
      <c r="AJ48" s="32"/>
      <c r="AK48" s="32"/>
      <c r="AL48" s="32"/>
      <c r="AM48" s="33"/>
      <c r="AN48" s="33"/>
      <c r="AO48" s="33"/>
      <c r="AP48" s="34">
        <f t="shared" si="13"/>
        <v>0</v>
      </c>
      <c r="AQ48" s="32">
        <f t="shared" si="14"/>
        <v>0</v>
      </c>
      <c r="AR48" s="32">
        <f t="shared" si="15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32"/>
        <v>3959.27</v>
      </c>
      <c r="BC48" s="45">
        <f t="shared" si="33"/>
        <v>3892</v>
      </c>
      <c r="BD48" s="45"/>
      <c r="BE48" s="45">
        <f t="shared" si="9"/>
        <v>67.269999999999982</v>
      </c>
      <c r="BF48" s="39">
        <f t="shared" si="10"/>
        <v>1.6990505825568849E-2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11"/>
        <v>3817.2</v>
      </c>
      <c r="U49" s="46">
        <v>3841.8</v>
      </c>
      <c r="V49" s="46"/>
      <c r="W49" s="46"/>
      <c r="X49" s="46">
        <v>3735.4</v>
      </c>
      <c r="Y49" s="46"/>
      <c r="Z49" s="46">
        <f t="shared" si="30"/>
        <v>81.799999999999727</v>
      </c>
      <c r="AA49" s="39">
        <f t="shared" si="31"/>
        <v>2.1429319920360405E-2</v>
      </c>
      <c r="AB49" s="73">
        <v>3817.2</v>
      </c>
      <c r="AC49" s="73">
        <v>3817.2</v>
      </c>
      <c r="AD49" s="73"/>
      <c r="AE49" s="39"/>
      <c r="AF49" s="74"/>
      <c r="AG49" s="74"/>
      <c r="AH49" s="75"/>
      <c r="AI49" s="75">
        <f t="shared" si="12"/>
        <v>0</v>
      </c>
      <c r="AJ49" s="32"/>
      <c r="AK49" s="32"/>
      <c r="AL49" s="32"/>
      <c r="AM49" s="33"/>
      <c r="AN49" s="33"/>
      <c r="AO49" s="33"/>
      <c r="AP49" s="34">
        <f t="shared" si="13"/>
        <v>0</v>
      </c>
      <c r="AQ49" s="32">
        <f t="shared" si="14"/>
        <v>0</v>
      </c>
      <c r="AR49" s="32">
        <f t="shared" si="15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32"/>
        <v>3817.2</v>
      </c>
      <c r="BC49" s="45">
        <f t="shared" si="33"/>
        <v>3735.4</v>
      </c>
      <c r="BD49" s="45"/>
      <c r="BE49" s="45">
        <f t="shared" si="9"/>
        <v>81.799999999999727</v>
      </c>
      <c r="BF49" s="39">
        <f t="shared" si="10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11"/>
        <v>3953.4</v>
      </c>
      <c r="U50" s="46">
        <v>3978.2</v>
      </c>
      <c r="V50" s="46"/>
      <c r="W50" s="46"/>
      <c r="X50" s="46">
        <v>3823.6</v>
      </c>
      <c r="Y50" s="46"/>
      <c r="Z50" s="46">
        <f t="shared" si="30"/>
        <v>129.80000000000018</v>
      </c>
      <c r="AA50" s="39">
        <f t="shared" si="31"/>
        <v>3.2832498608792476E-2</v>
      </c>
      <c r="AB50" s="73">
        <v>3953.4</v>
      </c>
      <c r="AC50" s="73">
        <v>3953.4</v>
      </c>
      <c r="AD50" s="73"/>
      <c r="AE50" s="39"/>
      <c r="AF50" s="74"/>
      <c r="AG50" s="74"/>
      <c r="AH50" s="75"/>
      <c r="AI50" s="75">
        <f t="shared" si="12"/>
        <v>0</v>
      </c>
      <c r="AJ50" s="32"/>
      <c r="AK50" s="32"/>
      <c r="AL50" s="32"/>
      <c r="AM50" s="33"/>
      <c r="AN50" s="33"/>
      <c r="AO50" s="33"/>
      <c r="AP50" s="34">
        <f t="shared" si="13"/>
        <v>0</v>
      </c>
      <c r="AQ50" s="32">
        <f t="shared" si="14"/>
        <v>0</v>
      </c>
      <c r="AR50" s="32">
        <f t="shared" si="15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32"/>
        <v>3953.4</v>
      </c>
      <c r="BC50" s="45">
        <f t="shared" si="33"/>
        <v>3823.6</v>
      </c>
      <c r="BD50" s="45"/>
      <c r="BE50" s="45">
        <f t="shared" si="9"/>
        <v>129.80000000000018</v>
      </c>
      <c r="BF50" s="39">
        <f t="shared" si="10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11"/>
        <v>3909.2</v>
      </c>
      <c r="U51" s="46">
        <v>3917.6</v>
      </c>
      <c r="V51" s="46"/>
      <c r="W51" s="46"/>
      <c r="X51" s="46">
        <v>3955.2</v>
      </c>
      <c r="Y51" s="46"/>
      <c r="Z51" s="46">
        <f t="shared" si="30"/>
        <v>-46</v>
      </c>
      <c r="AA51" s="39">
        <f t="shared" si="31"/>
        <v>-1.1767113475902998E-2</v>
      </c>
      <c r="AB51" s="73">
        <v>3909.2</v>
      </c>
      <c r="AC51" s="73">
        <v>3909.2</v>
      </c>
      <c r="AD51" s="73"/>
      <c r="AE51" s="39"/>
      <c r="AF51" s="74"/>
      <c r="AG51" s="74"/>
      <c r="AH51" s="75"/>
      <c r="AI51" s="75">
        <f t="shared" si="12"/>
        <v>0</v>
      </c>
      <c r="AJ51" s="32"/>
      <c r="AK51" s="32"/>
      <c r="AL51" s="32"/>
      <c r="AM51" s="33"/>
      <c r="AN51" s="33"/>
      <c r="AO51" s="33"/>
      <c r="AP51" s="34">
        <f t="shared" si="13"/>
        <v>0</v>
      </c>
      <c r="AQ51" s="32">
        <f t="shared" si="14"/>
        <v>0</v>
      </c>
      <c r="AR51" s="32">
        <f t="shared" si="15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32"/>
        <v>3909.2</v>
      </c>
      <c r="BC51" s="45">
        <f t="shared" si="33"/>
        <v>3955.2</v>
      </c>
      <c r="BD51" s="45"/>
      <c r="BE51" s="45">
        <f t="shared" si="9"/>
        <v>-46</v>
      </c>
      <c r="BF51" s="39">
        <f t="shared" si="10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11"/>
        <v>3912.4</v>
      </c>
      <c r="U52" s="46">
        <v>3923.4</v>
      </c>
      <c r="V52" s="46"/>
      <c r="W52" s="46"/>
      <c r="X52" s="46">
        <v>3769.4</v>
      </c>
      <c r="Y52" s="46"/>
      <c r="Z52" s="46">
        <f t="shared" si="30"/>
        <v>143</v>
      </c>
      <c r="AA52" s="39">
        <f t="shared" si="31"/>
        <v>3.655045496370514E-2</v>
      </c>
      <c r="AB52" s="73">
        <v>3912.35</v>
      </c>
      <c r="AC52" s="73">
        <v>3912.35</v>
      </c>
      <c r="AD52" s="73"/>
      <c r="AE52" s="39"/>
      <c r="AF52" s="74"/>
      <c r="AG52" s="74"/>
      <c r="AH52" s="75"/>
      <c r="AI52" s="75">
        <f t="shared" si="12"/>
        <v>0</v>
      </c>
      <c r="AJ52" s="32"/>
      <c r="AK52" s="32"/>
      <c r="AL52" s="32"/>
      <c r="AM52" s="33"/>
      <c r="AN52" s="33"/>
      <c r="AO52" s="33"/>
      <c r="AP52" s="34">
        <f t="shared" si="13"/>
        <v>0</v>
      </c>
      <c r="AQ52" s="32">
        <f t="shared" si="14"/>
        <v>0</v>
      </c>
      <c r="AR52" s="32">
        <f t="shared" si="15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32"/>
        <v>3912.35</v>
      </c>
      <c r="BC52" s="45">
        <f t="shared" si="33"/>
        <v>3769.4</v>
      </c>
      <c r="BD52" s="45"/>
      <c r="BE52" s="45">
        <f t="shared" si="9"/>
        <v>142.94999999999982</v>
      </c>
      <c r="BF52" s="39">
        <f t="shared" si="10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11"/>
        <v>3496.1</v>
      </c>
      <c r="U53" s="46">
        <v>3595</v>
      </c>
      <c r="V53" s="46"/>
      <c r="W53" s="46"/>
      <c r="X53" s="46">
        <v>3541.8</v>
      </c>
      <c r="Y53" s="46"/>
      <c r="Z53" s="46">
        <f t="shared" si="30"/>
        <v>-45.700000000000273</v>
      </c>
      <c r="AA53" s="39">
        <f t="shared" si="31"/>
        <v>-1.3071708475158112E-2</v>
      </c>
      <c r="AB53" s="73">
        <v>3516.31</v>
      </c>
      <c r="AC53" s="73">
        <v>3496.07</v>
      </c>
      <c r="AD53" s="73"/>
      <c r="AE53" s="39"/>
      <c r="AF53" s="74"/>
      <c r="AG53" s="74"/>
      <c r="AH53" s="75"/>
      <c r="AI53" s="75">
        <f t="shared" si="12"/>
        <v>0</v>
      </c>
      <c r="AJ53" s="32"/>
      <c r="AK53" s="32"/>
      <c r="AL53" s="32"/>
      <c r="AM53" s="33"/>
      <c r="AN53" s="33"/>
      <c r="AO53" s="33"/>
      <c r="AP53" s="34">
        <f t="shared" si="13"/>
        <v>0</v>
      </c>
      <c r="AQ53" s="32">
        <f t="shared" si="14"/>
        <v>0</v>
      </c>
      <c r="AR53" s="32">
        <f t="shared" si="15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32"/>
        <v>3496.07</v>
      </c>
      <c r="BC53" s="45">
        <f t="shared" si="33"/>
        <v>3541.8</v>
      </c>
      <c r="BD53" s="45"/>
      <c r="BE53" s="45">
        <f t="shared" si="9"/>
        <v>-45.730000000000018</v>
      </c>
      <c r="BF53" s="39">
        <f t="shared" si="10"/>
        <v>-1.3080401708203787E-2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11"/>
        <v>3777.3</v>
      </c>
      <c r="U54" s="46">
        <v>3777.3</v>
      </c>
      <c r="V54" s="46"/>
      <c r="W54" s="46"/>
      <c r="X54" s="46">
        <v>3840.6</v>
      </c>
      <c r="Y54" s="46"/>
      <c r="Z54" s="46">
        <f t="shared" si="30"/>
        <v>-63.299999999999727</v>
      </c>
      <c r="AA54" s="39">
        <f t="shared" si="31"/>
        <v>-1.6758001747279729E-2</v>
      </c>
      <c r="AB54" s="73">
        <v>3777.25</v>
      </c>
      <c r="AC54" s="73">
        <v>3777.25</v>
      </c>
      <c r="AD54" s="73"/>
      <c r="AE54" s="39"/>
      <c r="AF54" s="74"/>
      <c r="AG54" s="74"/>
      <c r="AH54" s="75"/>
      <c r="AI54" s="75">
        <f t="shared" si="12"/>
        <v>0</v>
      </c>
      <c r="AJ54" s="32"/>
      <c r="AK54" s="32"/>
      <c r="AL54" s="32"/>
      <c r="AM54" s="33"/>
      <c r="AN54" s="33"/>
      <c r="AO54" s="33"/>
      <c r="AP54" s="34">
        <f t="shared" si="13"/>
        <v>0</v>
      </c>
      <c r="AQ54" s="32">
        <f t="shared" si="14"/>
        <v>0</v>
      </c>
      <c r="AR54" s="32">
        <f t="shared" si="15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32"/>
        <v>3777.25</v>
      </c>
      <c r="BC54" s="45">
        <f t="shared" si="33"/>
        <v>3840.6</v>
      </c>
      <c r="BD54" s="45"/>
      <c r="BE54" s="45">
        <f t="shared" si="9"/>
        <v>-63.349999999999909</v>
      </c>
      <c r="BF54" s="39">
        <f t="shared" si="10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34">+R55-S55</f>
        <v>3870.4</v>
      </c>
      <c r="U55" s="46">
        <v>3870.4</v>
      </c>
      <c r="V55" s="46"/>
      <c r="W55" s="46"/>
      <c r="X55" s="46">
        <v>3777.2</v>
      </c>
      <c r="Y55" s="46"/>
      <c r="Z55" s="46">
        <f t="shared" si="30"/>
        <v>93.200000000000273</v>
      </c>
      <c r="AA55" s="39">
        <f t="shared" si="31"/>
        <v>2.4080198429103004E-2</v>
      </c>
      <c r="AB55" s="73">
        <v>3870.4</v>
      </c>
      <c r="AC55" s="73">
        <v>3870.4</v>
      </c>
      <c r="AD55" s="73"/>
      <c r="AE55" s="39"/>
      <c r="AF55" s="74"/>
      <c r="AG55" s="74"/>
      <c r="AH55" s="75"/>
      <c r="AI55" s="75">
        <f t="shared" ref="AI55:AI60" si="35">+AG55+AH55</f>
        <v>0</v>
      </c>
      <c r="AJ55" s="32"/>
      <c r="AK55" s="32"/>
      <c r="AL55" s="32"/>
      <c r="AM55" s="33"/>
      <c r="AN55" s="33"/>
      <c r="AO55" s="33"/>
      <c r="AP55" s="34">
        <f t="shared" ref="AP55:AP60" si="36">ROUNDUP((AO55-AM55+(AO55&lt;AM55))*24,0)</f>
        <v>0</v>
      </c>
      <c r="AQ55" s="32">
        <f t="shared" ref="AQ55:AQ60" si="37">IF(AP55&gt;5,(AP55-5),0)</f>
        <v>0</v>
      </c>
      <c r="AR55" s="32">
        <f t="shared" ref="AR55:AR60" si="38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32"/>
        <v>3870.4</v>
      </c>
      <c r="BC55" s="45">
        <f t="shared" si="33"/>
        <v>3777.2</v>
      </c>
      <c r="BD55" s="45"/>
      <c r="BE55" s="45">
        <f t="shared" ref="BE55:BE60" si="39">+BB55-BC55</f>
        <v>93.200000000000273</v>
      </c>
      <c r="BF55" s="39">
        <f t="shared" ref="BF55:BF60" si="40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34"/>
        <v>4021.7</v>
      </c>
      <c r="U56" s="46">
        <v>4021.7</v>
      </c>
      <c r="V56" s="46"/>
      <c r="W56" s="46"/>
      <c r="X56" s="46">
        <v>4039.3</v>
      </c>
      <c r="Y56" s="46"/>
      <c r="Z56" s="46">
        <f t="shared" si="30"/>
        <v>-17.600000000000364</v>
      </c>
      <c r="AA56" s="39">
        <f t="shared" si="31"/>
        <v>-4.37625879603162E-3</v>
      </c>
      <c r="AB56" s="73">
        <v>4021.7</v>
      </c>
      <c r="AC56" s="73">
        <v>4021.7</v>
      </c>
      <c r="AD56" s="73"/>
      <c r="AE56" s="39"/>
      <c r="AF56" s="74"/>
      <c r="AG56" s="74"/>
      <c r="AH56" s="75"/>
      <c r="AI56" s="75">
        <f t="shared" si="35"/>
        <v>0</v>
      </c>
      <c r="AJ56" s="32"/>
      <c r="AK56" s="32"/>
      <c r="AL56" s="32"/>
      <c r="AM56" s="33"/>
      <c r="AN56" s="33"/>
      <c r="AO56" s="33"/>
      <c r="AP56" s="34">
        <f t="shared" si="36"/>
        <v>0</v>
      </c>
      <c r="AQ56" s="32">
        <f t="shared" si="37"/>
        <v>0</v>
      </c>
      <c r="AR56" s="32">
        <f t="shared" si="38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32"/>
        <v>4021.7</v>
      </c>
      <c r="BC56" s="45">
        <f t="shared" si="33"/>
        <v>4039.3</v>
      </c>
      <c r="BD56" s="45"/>
      <c r="BE56" s="45">
        <f t="shared" si="39"/>
        <v>-17.600000000000364</v>
      </c>
      <c r="BF56" s="39">
        <f t="shared" si="40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34"/>
        <v>3902.7</v>
      </c>
      <c r="U57" s="46">
        <v>3902.7</v>
      </c>
      <c r="V57" s="46"/>
      <c r="W57" s="46"/>
      <c r="X57" s="46">
        <v>3836.2</v>
      </c>
      <c r="Y57" s="46"/>
      <c r="Z57" s="46">
        <f t="shared" si="30"/>
        <v>66.5</v>
      </c>
      <c r="AA57" s="39">
        <f t="shared" si="31"/>
        <v>1.7039485484408232E-2</v>
      </c>
      <c r="AB57" s="73">
        <v>3902.65</v>
      </c>
      <c r="AC57" s="73">
        <v>3902.65</v>
      </c>
      <c r="AD57" s="73"/>
      <c r="AE57" s="39"/>
      <c r="AF57" s="74"/>
      <c r="AG57" s="74"/>
      <c r="AH57" s="75"/>
      <c r="AI57" s="75">
        <f t="shared" si="35"/>
        <v>0</v>
      </c>
      <c r="AJ57" s="32"/>
      <c r="AK57" s="32"/>
      <c r="AL57" s="32"/>
      <c r="AM57" s="33"/>
      <c r="AN57" s="33"/>
      <c r="AO57" s="33"/>
      <c r="AP57" s="34">
        <f t="shared" si="36"/>
        <v>0</v>
      </c>
      <c r="AQ57" s="32">
        <f t="shared" si="37"/>
        <v>0</v>
      </c>
      <c r="AR57" s="32">
        <f t="shared" si="38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32"/>
        <v>3902.65</v>
      </c>
      <c r="BC57" s="45">
        <f t="shared" si="33"/>
        <v>3836.2</v>
      </c>
      <c r="BD57" s="45"/>
      <c r="BE57" s="45">
        <f t="shared" si="39"/>
        <v>66.450000000000273</v>
      </c>
      <c r="BF57" s="39">
        <f t="shared" si="40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34"/>
        <v>4008.6</v>
      </c>
      <c r="U58" s="46">
        <v>4008.6</v>
      </c>
      <c r="V58" s="46"/>
      <c r="W58" s="46"/>
      <c r="X58" s="46">
        <v>3991.6</v>
      </c>
      <c r="Y58" s="46"/>
      <c r="Z58" s="46">
        <f t="shared" si="30"/>
        <v>17</v>
      </c>
      <c r="AA58" s="39">
        <f t="shared" si="31"/>
        <v>4.2408821034775231E-3</v>
      </c>
      <c r="AB58" s="73">
        <v>4010.54</v>
      </c>
      <c r="AC58" s="73">
        <v>4008.64</v>
      </c>
      <c r="AD58" s="73"/>
      <c r="AE58" s="39"/>
      <c r="AF58" s="74"/>
      <c r="AG58" s="74"/>
      <c r="AH58" s="75"/>
      <c r="AI58" s="75">
        <f t="shared" si="35"/>
        <v>0</v>
      </c>
      <c r="AJ58" s="32"/>
      <c r="AK58" s="32"/>
      <c r="AL58" s="32"/>
      <c r="AM58" s="33"/>
      <c r="AN58" s="33"/>
      <c r="AO58" s="33"/>
      <c r="AP58" s="34">
        <f t="shared" si="36"/>
        <v>0</v>
      </c>
      <c r="AQ58" s="32">
        <f t="shared" si="37"/>
        <v>0</v>
      </c>
      <c r="AR58" s="32">
        <f t="shared" si="38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32"/>
        <v>4008.64</v>
      </c>
      <c r="BC58" s="45">
        <f t="shared" si="33"/>
        <v>3991.6</v>
      </c>
      <c r="BD58" s="45"/>
      <c r="BE58" s="45">
        <f t="shared" si="39"/>
        <v>17.039999999999964</v>
      </c>
      <c r="BF58" s="39">
        <f t="shared" si="40"/>
        <v>4.2508182326175372E-3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34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 t="shared" si="30"/>
        <v>-7</v>
      </c>
      <c r="AA59" s="39">
        <f t="shared" si="31"/>
        <v>-1.7087340721573987E-3</v>
      </c>
      <c r="AB59" s="73">
        <v>4096.55</v>
      </c>
      <c r="AC59" s="73">
        <v>4096.55</v>
      </c>
      <c r="AD59" s="73"/>
      <c r="AE59" s="39"/>
      <c r="AF59" s="74"/>
      <c r="AG59" s="74"/>
      <c r="AH59" s="75"/>
      <c r="AI59" s="75">
        <f t="shared" si="35"/>
        <v>0</v>
      </c>
      <c r="AJ59" s="32"/>
      <c r="AK59" s="32"/>
      <c r="AL59" s="32"/>
      <c r="AM59" s="33"/>
      <c r="AN59" s="33"/>
      <c r="AO59" s="33"/>
      <c r="AP59" s="34">
        <f t="shared" si="36"/>
        <v>0</v>
      </c>
      <c r="AQ59" s="32">
        <f t="shared" si="37"/>
        <v>0</v>
      </c>
      <c r="AR59" s="32">
        <f t="shared" si="38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32"/>
        <v>4096.55</v>
      </c>
      <c r="BC59" s="45">
        <f t="shared" si="33"/>
        <v>4103.6000000000004</v>
      </c>
      <c r="BD59" s="45"/>
      <c r="BE59" s="45">
        <f t="shared" si="39"/>
        <v>-7.0500000000001819</v>
      </c>
      <c r="BF59" s="39">
        <f t="shared" si="40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34"/>
        <v>4117.8</v>
      </c>
      <c r="U60" s="46">
        <v>4117.8</v>
      </c>
      <c r="V60" s="46"/>
      <c r="W60" s="46"/>
      <c r="X60" s="46">
        <v>4096</v>
      </c>
      <c r="Y60" s="46"/>
      <c r="Z60" s="46">
        <f t="shared" si="30"/>
        <v>21.800000000000182</v>
      </c>
      <c r="AA60" s="39">
        <f t="shared" si="31"/>
        <v>5.2940890766914814E-3</v>
      </c>
      <c r="AB60" s="73">
        <v>4117.75</v>
      </c>
      <c r="AC60" s="73">
        <v>4117.75</v>
      </c>
      <c r="AD60" s="73"/>
      <c r="AE60" s="39"/>
      <c r="AF60" s="74"/>
      <c r="AG60" s="74"/>
      <c r="AH60" s="75"/>
      <c r="AI60" s="75">
        <f t="shared" si="35"/>
        <v>0</v>
      </c>
      <c r="AJ60" s="32"/>
      <c r="AK60" s="32"/>
      <c r="AL60" s="32"/>
      <c r="AM60" s="33"/>
      <c r="AN60" s="33"/>
      <c r="AO60" s="33"/>
      <c r="AP60" s="34">
        <f t="shared" si="36"/>
        <v>0</v>
      </c>
      <c r="AQ60" s="32">
        <f t="shared" si="37"/>
        <v>0</v>
      </c>
      <c r="AR60" s="32">
        <f t="shared" si="38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32"/>
        <v>4117.75</v>
      </c>
      <c r="BC60" s="45">
        <f t="shared" si="33"/>
        <v>4096</v>
      </c>
      <c r="BD60" s="45"/>
      <c r="BE60" s="45">
        <f t="shared" si="39"/>
        <v>21.75</v>
      </c>
      <c r="BF60" s="39">
        <f t="shared" si="40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11"/>
        <v>3667.1</v>
      </c>
      <c r="U61" s="46">
        <v>3667.1</v>
      </c>
      <c r="V61" s="46"/>
      <c r="W61" s="46"/>
      <c r="X61" s="46">
        <v>3673.6</v>
      </c>
      <c r="Y61" s="46"/>
      <c r="Z61" s="46">
        <f t="shared" si="30"/>
        <v>-6.5</v>
      </c>
      <c r="AA61" s="39">
        <f t="shared" si="31"/>
        <v>-1.7725177933516948E-3</v>
      </c>
      <c r="AB61" s="73">
        <v>3679.26</v>
      </c>
      <c r="AC61" s="73">
        <v>3667.09</v>
      </c>
      <c r="AD61" s="73"/>
      <c r="AE61" s="39"/>
      <c r="AF61" s="74"/>
      <c r="AG61" s="74"/>
      <c r="AH61" s="75"/>
      <c r="AI61" s="75">
        <f t="shared" si="12"/>
        <v>0</v>
      </c>
      <c r="AJ61" s="32"/>
      <c r="AK61" s="32"/>
      <c r="AL61" s="32"/>
      <c r="AM61" s="33"/>
      <c r="AN61" s="33"/>
      <c r="AO61" s="33"/>
      <c r="AP61" s="34">
        <f t="shared" si="13"/>
        <v>0</v>
      </c>
      <c r="AQ61" s="32">
        <f t="shared" si="14"/>
        <v>0</v>
      </c>
      <c r="AR61" s="32">
        <f t="shared" si="15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32"/>
        <v>3667.09</v>
      </c>
      <c r="BC61" s="45">
        <f t="shared" si="33"/>
        <v>3673.6</v>
      </c>
      <c r="BD61" s="45"/>
      <c r="BE61" s="45">
        <f t="shared" si="9"/>
        <v>-6.5099999999997635</v>
      </c>
      <c r="BF61" s="39">
        <f t="shared" si="10"/>
        <v>-1.7752495848205971E-3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11"/>
        <v>3785.7</v>
      </c>
      <c r="U62" s="46">
        <v>3785.7</v>
      </c>
      <c r="V62" s="46"/>
      <c r="W62" s="46"/>
      <c r="X62" s="46">
        <v>3729.6</v>
      </c>
      <c r="Y62" s="46"/>
      <c r="Z62" s="46">
        <f t="shared" si="30"/>
        <v>56.099999999999909</v>
      </c>
      <c r="AA62" s="39">
        <f t="shared" si="31"/>
        <v>1.4818923844995618E-2</v>
      </c>
      <c r="AB62" s="73">
        <v>3785.7</v>
      </c>
      <c r="AC62" s="73">
        <v>3785.7</v>
      </c>
      <c r="AD62" s="73"/>
      <c r="AE62" s="39"/>
      <c r="AF62" s="74"/>
      <c r="AG62" s="74"/>
      <c r="AH62" s="75"/>
      <c r="AI62" s="75">
        <f t="shared" si="12"/>
        <v>0</v>
      </c>
      <c r="AJ62" s="32"/>
      <c r="AK62" s="32"/>
      <c r="AL62" s="32"/>
      <c r="AM62" s="33"/>
      <c r="AN62" s="33"/>
      <c r="AO62" s="33"/>
      <c r="AP62" s="34">
        <f t="shared" si="13"/>
        <v>0</v>
      </c>
      <c r="AQ62" s="32">
        <f t="shared" si="14"/>
        <v>0</v>
      </c>
      <c r="AR62" s="32">
        <f t="shared" si="15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32"/>
        <v>3785.7</v>
      </c>
      <c r="BC62" s="45">
        <f t="shared" si="33"/>
        <v>3729.6</v>
      </c>
      <c r="BD62" s="45"/>
      <c r="BE62" s="45">
        <f t="shared" si="9"/>
        <v>56.099999999999909</v>
      </c>
      <c r="BF62" s="39">
        <f t="shared" si="10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11"/>
        <v>3896.8</v>
      </c>
      <c r="U63" s="46">
        <v>3896.8</v>
      </c>
      <c r="V63" s="46"/>
      <c r="W63" s="46"/>
      <c r="X63" s="46">
        <v>3856.8</v>
      </c>
      <c r="Y63" s="46"/>
      <c r="Z63" s="46">
        <f t="shared" si="30"/>
        <v>40</v>
      </c>
      <c r="AA63" s="39">
        <f t="shared" si="31"/>
        <v>1.0264832683227263E-2</v>
      </c>
      <c r="AB63" s="73">
        <v>3896.75</v>
      </c>
      <c r="AC63" s="73">
        <v>3896.75</v>
      </c>
      <c r="AD63" s="73"/>
      <c r="AE63" s="39"/>
      <c r="AF63" s="74"/>
      <c r="AG63" s="74"/>
      <c r="AH63" s="75"/>
      <c r="AI63" s="75">
        <f t="shared" si="12"/>
        <v>0</v>
      </c>
      <c r="AJ63" s="32"/>
      <c r="AK63" s="32"/>
      <c r="AL63" s="32"/>
      <c r="AM63" s="33"/>
      <c r="AN63" s="33"/>
      <c r="AO63" s="33"/>
      <c r="AP63" s="34">
        <f t="shared" si="13"/>
        <v>0</v>
      </c>
      <c r="AQ63" s="32">
        <f t="shared" si="14"/>
        <v>0</v>
      </c>
      <c r="AR63" s="32">
        <f t="shared" si="15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32"/>
        <v>3896.75</v>
      </c>
      <c r="BC63" s="45">
        <f t="shared" si="33"/>
        <v>3856.8</v>
      </c>
      <c r="BD63" s="45"/>
      <c r="BE63" s="45">
        <f t="shared" si="9"/>
        <v>39.949999999999818</v>
      </c>
      <c r="BF63" s="39">
        <f t="shared" si="10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11"/>
        <v>3916</v>
      </c>
      <c r="U64" s="46">
        <v>3953.4</v>
      </c>
      <c r="V64" s="46"/>
      <c r="W64" s="46"/>
      <c r="X64" s="46">
        <v>4016</v>
      </c>
      <c r="Y64" s="46"/>
      <c r="Z64" s="46">
        <f t="shared" si="30"/>
        <v>-100</v>
      </c>
      <c r="AA64" s="39">
        <f t="shared" si="31"/>
        <v>-2.5536261491317672E-2</v>
      </c>
      <c r="AB64" s="73">
        <v>3921.68</v>
      </c>
      <c r="AC64" s="73">
        <v>3915.98</v>
      </c>
      <c r="AD64" s="73"/>
      <c r="AE64" s="39"/>
      <c r="AF64" s="74"/>
      <c r="AG64" s="74"/>
      <c r="AH64" s="75"/>
      <c r="AI64" s="75">
        <f t="shared" si="12"/>
        <v>0</v>
      </c>
      <c r="AJ64" s="32"/>
      <c r="AK64" s="32"/>
      <c r="AL64" s="32"/>
      <c r="AM64" s="33"/>
      <c r="AN64" s="33"/>
      <c r="AO64" s="33"/>
      <c r="AP64" s="34">
        <f t="shared" si="13"/>
        <v>0</v>
      </c>
      <c r="AQ64" s="32">
        <f t="shared" si="14"/>
        <v>0</v>
      </c>
      <c r="AR64" s="32">
        <f t="shared" si="15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32"/>
        <v>3915.98</v>
      </c>
      <c r="BC64" s="45">
        <f t="shared" si="33"/>
        <v>4016</v>
      </c>
      <c r="BD64" s="45"/>
      <c r="BE64" s="45">
        <f t="shared" si="9"/>
        <v>-100.01999999999998</v>
      </c>
      <c r="BF64" s="39">
        <f t="shared" si="10"/>
        <v>-2.5541499190496371E-2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11"/>
        <v>4057</v>
      </c>
      <c r="U65" s="46">
        <v>4057</v>
      </c>
      <c r="V65" s="46"/>
      <c r="W65" s="46"/>
      <c r="X65" s="46">
        <v>4194.6000000000004</v>
      </c>
      <c r="Y65" s="46"/>
      <c r="Z65" s="46">
        <f t="shared" si="30"/>
        <v>-137.60000000000036</v>
      </c>
      <c r="AA65" s="39">
        <f t="shared" si="31"/>
        <v>-3.3916687207296119E-2</v>
      </c>
      <c r="AB65" s="73">
        <v>4194.05</v>
      </c>
      <c r="AC65" s="73">
        <v>4183.45</v>
      </c>
      <c r="AD65" s="73"/>
      <c r="AE65" s="39"/>
      <c r="AF65" s="74"/>
      <c r="AG65" s="74"/>
      <c r="AH65" s="75"/>
      <c r="AI65" s="75">
        <f t="shared" si="12"/>
        <v>0</v>
      </c>
      <c r="AJ65" s="32"/>
      <c r="AK65" s="32"/>
      <c r="AL65" s="32"/>
      <c r="AM65" s="33"/>
      <c r="AN65" s="33"/>
      <c r="AO65" s="33"/>
      <c r="AP65" s="34">
        <f t="shared" si="13"/>
        <v>0</v>
      </c>
      <c r="AQ65" s="32">
        <f t="shared" si="14"/>
        <v>0</v>
      </c>
      <c r="AR65" s="32">
        <f t="shared" si="15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32"/>
        <v>4183.45</v>
      </c>
      <c r="BC65" s="45">
        <f t="shared" si="33"/>
        <v>4194.6000000000004</v>
      </c>
      <c r="BD65" s="45"/>
      <c r="BE65" s="45">
        <f t="shared" si="9"/>
        <v>-11.150000000000546</v>
      </c>
      <c r="BF65" s="39">
        <f t="shared" si="10"/>
        <v>-2.6652643153379499E-3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41">+R66-S66</f>
        <v>3590</v>
      </c>
      <c r="U66" s="46">
        <v>3591.4</v>
      </c>
      <c r="V66" s="46"/>
      <c r="W66" s="46"/>
      <c r="X66" s="46">
        <v>3522.6</v>
      </c>
      <c r="Y66" s="46"/>
      <c r="Z66" s="46">
        <f t="shared" si="30"/>
        <v>67.400000000000091</v>
      </c>
      <c r="AA66" s="39">
        <f t="shared" si="31"/>
        <v>1.877437325905295E-2</v>
      </c>
      <c r="AB66" s="73">
        <v>3590</v>
      </c>
      <c r="AC66" s="73">
        <v>3590</v>
      </c>
      <c r="AD66" s="73"/>
      <c r="AE66" s="39"/>
      <c r="AF66" s="74"/>
      <c r="AG66" s="74"/>
      <c r="AH66" s="75"/>
      <c r="AI66" s="75">
        <f t="shared" ref="AI66:AI73" si="42">+AG66+AH66</f>
        <v>0</v>
      </c>
      <c r="AJ66" s="32"/>
      <c r="AK66" s="32"/>
      <c r="AL66" s="32"/>
      <c r="AM66" s="33"/>
      <c r="AN66" s="33"/>
      <c r="AO66" s="33"/>
      <c r="AP66" s="34">
        <f t="shared" ref="AP66:AP73" si="43">ROUNDUP((AO66-AM66+(AO66&lt;AM66))*24,0)</f>
        <v>0</v>
      </c>
      <c r="AQ66" s="32">
        <f t="shared" ref="AQ66:AQ73" si="44">IF(AP66&gt;5,(AP66-5),0)</f>
        <v>0</v>
      </c>
      <c r="AR66" s="32">
        <f t="shared" ref="AR66:AR73" si="45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32"/>
        <v>3590</v>
      </c>
      <c r="BC66" s="45">
        <f t="shared" si="33"/>
        <v>3522.6</v>
      </c>
      <c r="BD66" s="45"/>
      <c r="BE66" s="45">
        <f t="shared" ref="BE66:BE73" si="46">+BB66-BC66</f>
        <v>67.400000000000091</v>
      </c>
      <c r="BF66" s="39">
        <f t="shared" ref="BF66:BF73" si="47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41"/>
        <v>3985.6</v>
      </c>
      <c r="U67" s="46">
        <v>3994.8</v>
      </c>
      <c r="V67" s="46"/>
      <c r="W67" s="46"/>
      <c r="X67" s="46">
        <v>3933</v>
      </c>
      <c r="Y67" s="46"/>
      <c r="Z67" s="46">
        <f t="shared" si="30"/>
        <v>52.599999999999909</v>
      </c>
      <c r="AA67" s="39">
        <f t="shared" si="31"/>
        <v>1.3197511039743053E-2</v>
      </c>
      <c r="AB67" s="73">
        <v>3985.55</v>
      </c>
      <c r="AC67" s="73">
        <v>3985.55</v>
      </c>
      <c r="AD67" s="73"/>
      <c r="AE67" s="39"/>
      <c r="AF67" s="74"/>
      <c r="AG67" s="74"/>
      <c r="AH67" s="75"/>
      <c r="AI67" s="75">
        <f t="shared" si="42"/>
        <v>0</v>
      </c>
      <c r="AJ67" s="32"/>
      <c r="AK67" s="32"/>
      <c r="AL67" s="32"/>
      <c r="AM67" s="33"/>
      <c r="AN67" s="33"/>
      <c r="AO67" s="33"/>
      <c r="AP67" s="34">
        <f t="shared" si="43"/>
        <v>0</v>
      </c>
      <c r="AQ67" s="32">
        <f t="shared" si="44"/>
        <v>0</v>
      </c>
      <c r="AR67" s="32">
        <f t="shared" si="45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32"/>
        <v>3985.55</v>
      </c>
      <c r="BC67" s="45">
        <f t="shared" si="33"/>
        <v>3933</v>
      </c>
      <c r="BD67" s="45"/>
      <c r="BE67" s="45">
        <f t="shared" si="46"/>
        <v>52.550000000000182</v>
      </c>
      <c r="BF67" s="39">
        <f t="shared" si="47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41"/>
        <v>3927.6</v>
      </c>
      <c r="U68" s="46">
        <v>3942.2</v>
      </c>
      <c r="V68" s="46"/>
      <c r="W68" s="46"/>
      <c r="X68" s="46">
        <v>4092.6</v>
      </c>
      <c r="Y68" s="46"/>
      <c r="Z68" s="46">
        <f t="shared" si="30"/>
        <v>-165</v>
      </c>
      <c r="AA68" s="39">
        <f t="shared" si="31"/>
        <v>-4.2010388023220289E-2</v>
      </c>
      <c r="AB68" s="73">
        <v>3965.72</v>
      </c>
      <c r="AC68" s="73">
        <v>3963.25</v>
      </c>
      <c r="AD68" s="73"/>
      <c r="AE68" s="39"/>
      <c r="AF68" s="74"/>
      <c r="AG68" s="74"/>
      <c r="AH68" s="75"/>
      <c r="AI68" s="75">
        <f t="shared" si="42"/>
        <v>0</v>
      </c>
      <c r="AJ68" s="32"/>
      <c r="AK68" s="32"/>
      <c r="AL68" s="32"/>
      <c r="AM68" s="33"/>
      <c r="AN68" s="33"/>
      <c r="AO68" s="33"/>
      <c r="AP68" s="34">
        <f t="shared" si="43"/>
        <v>0</v>
      </c>
      <c r="AQ68" s="32">
        <f t="shared" si="44"/>
        <v>0</v>
      </c>
      <c r="AR68" s="32">
        <f t="shared" si="45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32"/>
        <v>3963.25</v>
      </c>
      <c r="BC68" s="45">
        <f t="shared" si="33"/>
        <v>4092.6</v>
      </c>
      <c r="BD68" s="45"/>
      <c r="BE68" s="45">
        <f t="shared" si="46"/>
        <v>-129.34999999999991</v>
      </c>
      <c r="BF68" s="39">
        <f t="shared" si="47"/>
        <v>-3.2637355705544671E-2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41"/>
        <v>3866.9</v>
      </c>
      <c r="U69" s="46">
        <v>3893</v>
      </c>
      <c r="V69" s="46"/>
      <c r="W69" s="46"/>
      <c r="X69" s="46">
        <v>4001.6</v>
      </c>
      <c r="Y69" s="46"/>
      <c r="Z69" s="46">
        <f t="shared" si="30"/>
        <v>-134.69999999999982</v>
      </c>
      <c r="AA69" s="39">
        <f t="shared" si="31"/>
        <v>-3.4834104838501079E-2</v>
      </c>
      <c r="AB69" s="73">
        <v>3894.02</v>
      </c>
      <c r="AC69" s="73">
        <v>3874.62</v>
      </c>
      <c r="AD69" s="73"/>
      <c r="AE69" s="39"/>
      <c r="AF69" s="74"/>
      <c r="AG69" s="74"/>
      <c r="AH69" s="75"/>
      <c r="AI69" s="75">
        <f t="shared" si="42"/>
        <v>0</v>
      </c>
      <c r="AJ69" s="32"/>
      <c r="AK69" s="32"/>
      <c r="AL69" s="32"/>
      <c r="AM69" s="33"/>
      <c r="AN69" s="33"/>
      <c r="AO69" s="33"/>
      <c r="AP69" s="34">
        <f t="shared" si="43"/>
        <v>0</v>
      </c>
      <c r="AQ69" s="32">
        <f t="shared" si="44"/>
        <v>0</v>
      </c>
      <c r="AR69" s="32">
        <f t="shared" si="45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32"/>
        <v>3874.62</v>
      </c>
      <c r="BC69" s="45">
        <f t="shared" si="33"/>
        <v>4001.6</v>
      </c>
      <c r="BD69" s="45"/>
      <c r="BE69" s="45">
        <f t="shared" si="46"/>
        <v>-126.98000000000002</v>
      </c>
      <c r="BF69" s="39">
        <f t="shared" si="47"/>
        <v>-3.2772246052516121E-2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41"/>
        <v>3667.5</v>
      </c>
      <c r="U70" s="46">
        <v>3697.2</v>
      </c>
      <c r="V70" s="46"/>
      <c r="W70" s="46"/>
      <c r="X70" s="46">
        <v>3335.4</v>
      </c>
      <c r="Y70" s="46"/>
      <c r="Z70" s="46">
        <f t="shared" ref="Z70:Z101" si="48">+T70-X70</f>
        <v>332.09999999999991</v>
      </c>
      <c r="AA70" s="39">
        <f t="shared" ref="AA70:AA101" si="49">Z70/T70</f>
        <v>9.0552147239263775E-2</v>
      </c>
      <c r="AB70" s="73">
        <v>3667.5</v>
      </c>
      <c r="AC70" s="73">
        <v>3667.5</v>
      </c>
      <c r="AD70" s="73"/>
      <c r="AE70" s="39"/>
      <c r="AF70" s="74"/>
      <c r="AG70" s="74"/>
      <c r="AH70" s="75"/>
      <c r="AI70" s="75">
        <f t="shared" si="42"/>
        <v>0</v>
      </c>
      <c r="AJ70" s="32"/>
      <c r="AK70" s="32"/>
      <c r="AL70" s="32"/>
      <c r="AM70" s="33"/>
      <c r="AN70" s="33"/>
      <c r="AO70" s="33"/>
      <c r="AP70" s="34">
        <f t="shared" si="43"/>
        <v>0</v>
      </c>
      <c r="AQ70" s="32">
        <f t="shared" si="44"/>
        <v>0</v>
      </c>
      <c r="AR70" s="32">
        <f t="shared" si="45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0">IF(AND(AB70="",AC70=""),T70,IF(AC70="",AB70,AC70))</f>
        <v>3667.5</v>
      </c>
      <c r="BC70" s="45">
        <f t="shared" ref="BC70:BC101" si="51">+X70</f>
        <v>3335.4</v>
      </c>
      <c r="BD70" s="45"/>
      <c r="BE70" s="45">
        <f t="shared" si="46"/>
        <v>332.09999999999991</v>
      </c>
      <c r="BF70" s="39">
        <f t="shared" si="47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41"/>
        <v>3576.4</v>
      </c>
      <c r="U71" s="46">
        <v>3585</v>
      </c>
      <c r="V71" s="46"/>
      <c r="W71" s="46"/>
      <c r="X71" s="46">
        <v>3253.4</v>
      </c>
      <c r="Y71" s="46"/>
      <c r="Z71" s="46">
        <f t="shared" si="48"/>
        <v>323</v>
      </c>
      <c r="AA71" s="39">
        <f t="shared" si="49"/>
        <v>9.0314282518733927E-2</v>
      </c>
      <c r="AB71" s="73">
        <v>3576.4</v>
      </c>
      <c r="AC71" s="73">
        <v>3576.4</v>
      </c>
      <c r="AD71" s="73"/>
      <c r="AE71" s="39"/>
      <c r="AF71" s="74"/>
      <c r="AG71" s="74"/>
      <c r="AH71" s="75"/>
      <c r="AI71" s="75">
        <f t="shared" si="42"/>
        <v>0</v>
      </c>
      <c r="AJ71" s="32"/>
      <c r="AK71" s="32"/>
      <c r="AL71" s="32"/>
      <c r="AM71" s="33"/>
      <c r="AN71" s="33"/>
      <c r="AO71" s="33"/>
      <c r="AP71" s="34">
        <f t="shared" si="43"/>
        <v>0</v>
      </c>
      <c r="AQ71" s="32">
        <f t="shared" si="44"/>
        <v>0</v>
      </c>
      <c r="AR71" s="32">
        <f t="shared" si="45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0"/>
        <v>3576.4</v>
      </c>
      <c r="BC71" s="45">
        <f t="shared" si="51"/>
        <v>3253.4</v>
      </c>
      <c r="BD71" s="45"/>
      <c r="BE71" s="45">
        <f t="shared" si="46"/>
        <v>323</v>
      </c>
      <c r="BF71" s="39">
        <f t="shared" si="47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41"/>
        <v>3804.9</v>
      </c>
      <c r="U72" s="46">
        <v>3817.8</v>
      </c>
      <c r="V72" s="46"/>
      <c r="W72" s="46"/>
      <c r="X72" s="46">
        <v>4004.8</v>
      </c>
      <c r="Y72" s="46"/>
      <c r="Z72" s="46">
        <f t="shared" si="48"/>
        <v>-199.90000000000009</v>
      </c>
      <c r="AA72" s="39">
        <f t="shared" si="49"/>
        <v>-5.2537517411758543E-2</v>
      </c>
      <c r="AB72" s="73">
        <v>4000.9</v>
      </c>
      <c r="AC72" s="73">
        <v>3975.56</v>
      </c>
      <c r="AD72" s="73"/>
      <c r="AE72" s="39"/>
      <c r="AF72" s="74"/>
      <c r="AG72" s="74"/>
      <c r="AH72" s="75"/>
      <c r="AI72" s="75">
        <f t="shared" si="42"/>
        <v>0</v>
      </c>
      <c r="AJ72" s="32"/>
      <c r="AK72" s="32"/>
      <c r="AL72" s="32"/>
      <c r="AM72" s="33"/>
      <c r="AN72" s="33"/>
      <c r="AO72" s="33"/>
      <c r="AP72" s="34">
        <f t="shared" si="43"/>
        <v>0</v>
      </c>
      <c r="AQ72" s="32">
        <f t="shared" si="44"/>
        <v>0</v>
      </c>
      <c r="AR72" s="32">
        <f t="shared" si="45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0"/>
        <v>3975.56</v>
      </c>
      <c r="BC72" s="45">
        <f t="shared" si="51"/>
        <v>4004.8</v>
      </c>
      <c r="BD72" s="45"/>
      <c r="BE72" s="45">
        <f t="shared" si="46"/>
        <v>-29.240000000000236</v>
      </c>
      <c r="BF72" s="39">
        <f t="shared" si="47"/>
        <v>-7.35493867530618E-3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41"/>
        <v>3765.2</v>
      </c>
      <c r="U73" s="46">
        <v>3780.2</v>
      </c>
      <c r="V73" s="46"/>
      <c r="W73" s="46"/>
      <c r="X73" s="46">
        <v>3774</v>
      </c>
      <c r="Y73" s="46"/>
      <c r="Z73" s="46">
        <f t="shared" si="48"/>
        <v>-8.8000000000001819</v>
      </c>
      <c r="AA73" s="39">
        <f t="shared" si="49"/>
        <v>-2.3371932433868541E-3</v>
      </c>
      <c r="AB73" s="73">
        <v>3765.2</v>
      </c>
      <c r="AC73" s="73">
        <v>3765.2</v>
      </c>
      <c r="AD73" s="73"/>
      <c r="AE73" s="39"/>
      <c r="AF73" s="74"/>
      <c r="AG73" s="74"/>
      <c r="AH73" s="75"/>
      <c r="AI73" s="75">
        <f t="shared" si="42"/>
        <v>0</v>
      </c>
      <c r="AJ73" s="32"/>
      <c r="AK73" s="32"/>
      <c r="AL73" s="32"/>
      <c r="AM73" s="33"/>
      <c r="AN73" s="33"/>
      <c r="AO73" s="33"/>
      <c r="AP73" s="34">
        <f t="shared" si="43"/>
        <v>0</v>
      </c>
      <c r="AQ73" s="32">
        <f t="shared" si="44"/>
        <v>0</v>
      </c>
      <c r="AR73" s="32">
        <f t="shared" si="45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0"/>
        <v>3765.2</v>
      </c>
      <c r="BC73" s="45">
        <f t="shared" si="51"/>
        <v>3774</v>
      </c>
      <c r="BD73" s="45"/>
      <c r="BE73" s="45">
        <f t="shared" si="46"/>
        <v>-8.8000000000001819</v>
      </c>
      <c r="BF73" s="39">
        <f t="shared" si="47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11"/>
        <v>3502.2</v>
      </c>
      <c r="U74" s="46">
        <v>3515.2</v>
      </c>
      <c r="V74" s="46"/>
      <c r="W74" s="46"/>
      <c r="X74" s="46">
        <v>3402.2</v>
      </c>
      <c r="Y74" s="46"/>
      <c r="Z74" s="46">
        <f t="shared" si="48"/>
        <v>100</v>
      </c>
      <c r="AA74" s="39">
        <f t="shared" si="49"/>
        <v>2.8553480669293588E-2</v>
      </c>
      <c r="AB74" s="73">
        <v>3502.15</v>
      </c>
      <c r="AC74" s="73">
        <v>3502.15</v>
      </c>
      <c r="AD74" s="73"/>
      <c r="AE74" s="39"/>
      <c r="AF74" s="74"/>
      <c r="AG74" s="74"/>
      <c r="AH74" s="75"/>
      <c r="AI74" s="75">
        <f t="shared" si="12"/>
        <v>0</v>
      </c>
      <c r="AJ74" s="32"/>
      <c r="AK74" s="32"/>
      <c r="AL74" s="32"/>
      <c r="AM74" s="33"/>
      <c r="AN74" s="33"/>
      <c r="AO74" s="33"/>
      <c r="AP74" s="34">
        <f t="shared" si="13"/>
        <v>0</v>
      </c>
      <c r="AQ74" s="32">
        <f t="shared" si="14"/>
        <v>0</v>
      </c>
      <c r="AR74" s="32">
        <f t="shared" si="15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0"/>
        <v>3502.15</v>
      </c>
      <c r="BC74" s="45">
        <f t="shared" si="51"/>
        <v>3402.2</v>
      </c>
      <c r="BD74" s="45"/>
      <c r="BE74" s="45">
        <f t="shared" si="9"/>
        <v>99.950000000000273</v>
      </c>
      <c r="BF74" s="39">
        <f t="shared" si="10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52">+R75-S75</f>
        <v>3972.7</v>
      </c>
      <c r="U75" s="46">
        <v>3981.8</v>
      </c>
      <c r="V75" s="46"/>
      <c r="W75" s="46"/>
      <c r="X75" s="46">
        <v>3937.4</v>
      </c>
      <c r="Y75" s="46"/>
      <c r="Z75" s="46">
        <f t="shared" si="48"/>
        <v>35.299999999999727</v>
      </c>
      <c r="AA75" s="39">
        <f t="shared" si="49"/>
        <v>8.8856445238753821E-3</v>
      </c>
      <c r="AB75" s="73">
        <v>3972.7</v>
      </c>
      <c r="AC75" s="73">
        <v>3972.7</v>
      </c>
      <c r="AD75" s="73"/>
      <c r="AE75" s="39"/>
      <c r="AF75" s="74"/>
      <c r="AG75" s="74"/>
      <c r="AH75" s="75"/>
      <c r="AI75" s="75">
        <f t="shared" ref="AI75" si="53">+AG75+AH75</f>
        <v>0</v>
      </c>
      <c r="AJ75" s="32"/>
      <c r="AK75" s="32"/>
      <c r="AL75" s="32"/>
      <c r="AM75" s="33"/>
      <c r="AN75" s="33"/>
      <c r="AO75" s="33"/>
      <c r="AP75" s="34">
        <f t="shared" ref="AP75" si="54">ROUNDUP((AO75-AM75+(AO75&lt;AM75))*24,0)</f>
        <v>0</v>
      </c>
      <c r="AQ75" s="32">
        <f t="shared" ref="AQ75" si="55">IF(AP75&gt;5,(AP75-5),0)</f>
        <v>0</v>
      </c>
      <c r="AR75" s="32">
        <f t="shared" ref="AR75" si="56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0"/>
        <v>3972.7</v>
      </c>
      <c r="BC75" s="45">
        <f t="shared" si="51"/>
        <v>3937.4</v>
      </c>
      <c r="BD75" s="45"/>
      <c r="BE75" s="45">
        <f t="shared" ref="BE75" si="57">+BB75-BC75</f>
        <v>35.299999999999727</v>
      </c>
      <c r="BF75" s="39">
        <f t="shared" ref="BF75" si="58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11"/>
        <v>3728.9</v>
      </c>
      <c r="U76" s="46">
        <v>3744.6</v>
      </c>
      <c r="V76" s="46"/>
      <c r="W76" s="46"/>
      <c r="X76" s="46">
        <v>3521.4</v>
      </c>
      <c r="Y76" s="46"/>
      <c r="Z76" s="46">
        <f t="shared" si="48"/>
        <v>207.5</v>
      </c>
      <c r="AA76" s="39">
        <f t="shared" si="49"/>
        <v>5.5646437287135614E-2</v>
      </c>
      <c r="AB76" s="73">
        <v>3872.5</v>
      </c>
      <c r="AC76" s="73">
        <v>3841.16</v>
      </c>
      <c r="AD76" s="73"/>
      <c r="AE76" s="39"/>
      <c r="AF76" s="74"/>
      <c r="AG76" s="74"/>
      <c r="AH76" s="75"/>
      <c r="AI76" s="75">
        <f t="shared" si="12"/>
        <v>0</v>
      </c>
      <c r="AJ76" s="32"/>
      <c r="AK76" s="32"/>
      <c r="AL76" s="32"/>
      <c r="AM76" s="33"/>
      <c r="AN76" s="33"/>
      <c r="AO76" s="33"/>
      <c r="AP76" s="34">
        <f t="shared" si="13"/>
        <v>0</v>
      </c>
      <c r="AQ76" s="32">
        <f t="shared" si="14"/>
        <v>0</v>
      </c>
      <c r="AR76" s="32">
        <f t="shared" si="15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0"/>
        <v>3841.16</v>
      </c>
      <c r="BC76" s="45">
        <f t="shared" si="51"/>
        <v>3521.4</v>
      </c>
      <c r="BD76" s="45"/>
      <c r="BE76" s="45">
        <f t="shared" si="9"/>
        <v>319.75999999999976</v>
      </c>
      <c r="BF76" s="39">
        <f t="shared" si="10"/>
        <v>8.3245686198960667E-2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11"/>
        <v>3691</v>
      </c>
      <c r="U77" s="46">
        <v>3708.2</v>
      </c>
      <c r="V77" s="46"/>
      <c r="W77" s="46"/>
      <c r="X77" s="46">
        <v>3669</v>
      </c>
      <c r="Y77" s="46"/>
      <c r="Z77" s="46">
        <f t="shared" si="48"/>
        <v>22</v>
      </c>
      <c r="AA77" s="39">
        <f t="shared" si="49"/>
        <v>5.9604443240314281E-3</v>
      </c>
      <c r="AB77" s="73">
        <v>3691</v>
      </c>
      <c r="AC77" s="73">
        <v>3691</v>
      </c>
      <c r="AD77" s="73"/>
      <c r="AE77" s="39"/>
      <c r="AF77" s="74"/>
      <c r="AG77" s="74"/>
      <c r="AH77" s="75"/>
      <c r="AI77" s="75">
        <f t="shared" si="12"/>
        <v>0</v>
      </c>
      <c r="AJ77" s="32"/>
      <c r="AK77" s="32"/>
      <c r="AL77" s="32"/>
      <c r="AM77" s="33"/>
      <c r="AN77" s="33"/>
      <c r="AO77" s="33"/>
      <c r="AP77" s="34">
        <f t="shared" si="13"/>
        <v>0</v>
      </c>
      <c r="AQ77" s="32">
        <f t="shared" si="14"/>
        <v>0</v>
      </c>
      <c r="AR77" s="32">
        <f t="shared" si="15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0"/>
        <v>3691</v>
      </c>
      <c r="BC77" s="45">
        <f t="shared" si="51"/>
        <v>3669</v>
      </c>
      <c r="BD77" s="45"/>
      <c r="BE77" s="45">
        <f t="shared" si="9"/>
        <v>22</v>
      </c>
      <c r="BF77" s="39">
        <f t="shared" si="10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11"/>
        <v>3915.7</v>
      </c>
      <c r="U78" s="46">
        <v>3922.2</v>
      </c>
      <c r="V78" s="46"/>
      <c r="W78" s="46"/>
      <c r="X78" s="46">
        <v>3803.6</v>
      </c>
      <c r="Y78" s="46"/>
      <c r="Z78" s="46">
        <f t="shared" si="48"/>
        <v>112.09999999999991</v>
      </c>
      <c r="AA78" s="39">
        <f t="shared" si="49"/>
        <v>2.8628342314273289E-2</v>
      </c>
      <c r="AB78" s="73">
        <v>3915.7</v>
      </c>
      <c r="AC78" s="73">
        <v>3915.7</v>
      </c>
      <c r="AD78" s="73"/>
      <c r="AE78" s="39"/>
      <c r="AF78" s="74"/>
      <c r="AG78" s="74"/>
      <c r="AH78" s="75"/>
      <c r="AI78" s="75">
        <f t="shared" si="12"/>
        <v>0</v>
      </c>
      <c r="AJ78" s="32"/>
      <c r="AK78" s="32"/>
      <c r="AL78" s="32"/>
      <c r="AM78" s="33"/>
      <c r="AN78" s="33"/>
      <c r="AO78" s="33"/>
      <c r="AP78" s="34">
        <f t="shared" si="13"/>
        <v>0</v>
      </c>
      <c r="AQ78" s="32">
        <f t="shared" si="14"/>
        <v>0</v>
      </c>
      <c r="AR78" s="32">
        <f t="shared" si="15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0"/>
        <v>3915.7</v>
      </c>
      <c r="BC78" s="45">
        <f t="shared" si="51"/>
        <v>3803.6</v>
      </c>
      <c r="BD78" s="45"/>
      <c r="BE78" s="45">
        <f t="shared" ref="BE78:BE87" si="59">+BB78-BC78</f>
        <v>112.09999999999991</v>
      </c>
      <c r="BF78" s="39">
        <f t="shared" ref="BF78:BF87" si="60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11"/>
        <v>3795</v>
      </c>
      <c r="U79" s="46">
        <v>3870.4</v>
      </c>
      <c r="V79" s="46"/>
      <c r="W79" s="46"/>
      <c r="X79" s="46">
        <v>3915.16</v>
      </c>
      <c r="Y79" s="46"/>
      <c r="Z79" s="46">
        <f t="shared" si="48"/>
        <v>-120.15999999999985</v>
      </c>
      <c r="AA79" s="39">
        <f t="shared" si="49"/>
        <v>-3.1662714097496665E-2</v>
      </c>
      <c r="AB79" s="73">
        <v>3803.66</v>
      </c>
      <c r="AC79" s="73">
        <v>3794.96</v>
      </c>
      <c r="AD79" s="73"/>
      <c r="AE79" s="39"/>
      <c r="AF79" s="74"/>
      <c r="AG79" s="74"/>
      <c r="AH79" s="75"/>
      <c r="AI79" s="75">
        <f t="shared" si="12"/>
        <v>0</v>
      </c>
      <c r="AJ79" s="32"/>
      <c r="AK79" s="32"/>
      <c r="AL79" s="32"/>
      <c r="AM79" s="33"/>
      <c r="AN79" s="33"/>
      <c r="AO79" s="33"/>
      <c r="AP79" s="34">
        <f t="shared" si="13"/>
        <v>0</v>
      </c>
      <c r="AQ79" s="32">
        <f t="shared" si="14"/>
        <v>0</v>
      </c>
      <c r="AR79" s="32">
        <f t="shared" si="15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0"/>
        <v>3794.96</v>
      </c>
      <c r="BC79" s="45">
        <f t="shared" si="51"/>
        <v>3915.16</v>
      </c>
      <c r="BD79" s="45"/>
      <c r="BE79" s="45">
        <f t="shared" si="59"/>
        <v>-120.19999999999982</v>
      </c>
      <c r="BF79" s="39">
        <f t="shared" si="60"/>
        <v>-3.1673588127411043E-2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11"/>
        <v>3906</v>
      </c>
      <c r="U80" s="46">
        <v>3922.2</v>
      </c>
      <c r="V80" s="46"/>
      <c r="W80" s="46"/>
      <c r="X80" s="46">
        <v>4083.6</v>
      </c>
      <c r="Y80" s="46"/>
      <c r="Z80" s="46">
        <f t="shared" si="48"/>
        <v>-177.59999999999991</v>
      </c>
      <c r="AA80" s="39">
        <f t="shared" si="49"/>
        <v>-4.5468509984638993E-2</v>
      </c>
      <c r="AB80" s="73">
        <v>3905.95</v>
      </c>
      <c r="AC80" s="73">
        <v>3905.95</v>
      </c>
      <c r="AD80" s="73"/>
      <c r="AE80" s="39"/>
      <c r="AF80" s="74"/>
      <c r="AG80" s="74"/>
      <c r="AH80" s="75"/>
      <c r="AI80" s="75">
        <f t="shared" si="12"/>
        <v>0</v>
      </c>
      <c r="AJ80" s="32"/>
      <c r="AK80" s="32"/>
      <c r="AL80" s="32"/>
      <c r="AM80" s="33"/>
      <c r="AN80" s="33"/>
      <c r="AO80" s="33"/>
      <c r="AP80" s="34">
        <f t="shared" si="13"/>
        <v>0</v>
      </c>
      <c r="AQ80" s="32">
        <f t="shared" si="14"/>
        <v>0</v>
      </c>
      <c r="AR80" s="32">
        <f t="shared" si="15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0"/>
        <v>3905.95</v>
      </c>
      <c r="BC80" s="45">
        <f t="shared" si="51"/>
        <v>4083.6</v>
      </c>
      <c r="BD80" s="45"/>
      <c r="BE80" s="45">
        <f t="shared" si="59"/>
        <v>-177.65000000000009</v>
      </c>
      <c r="BF80" s="39">
        <f t="shared" si="60"/>
        <v>-4.5481893009383149E-2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64</v>
      </c>
      <c r="F81" s="36">
        <v>46250</v>
      </c>
      <c r="G81" s="24" t="s">
        <v>59</v>
      </c>
      <c r="H81" s="24">
        <v>59</v>
      </c>
      <c r="I81" s="24">
        <v>3</v>
      </c>
      <c r="J81" s="24" t="s">
        <v>64</v>
      </c>
      <c r="K81" s="25">
        <v>162004403</v>
      </c>
      <c r="L81" s="26">
        <v>46250</v>
      </c>
      <c r="M81" s="38">
        <v>46252</v>
      </c>
      <c r="N81" s="52">
        <v>16583</v>
      </c>
      <c r="O81" s="27"/>
      <c r="P81" s="27"/>
      <c r="Q81" s="27"/>
      <c r="R81" s="46">
        <v>5055.07</v>
      </c>
      <c r="S81" s="46">
        <v>1175.7699999999995</v>
      </c>
      <c r="T81" s="46">
        <f t="shared" si="11"/>
        <v>3879.3</v>
      </c>
      <c r="U81" s="46">
        <v>3899.8</v>
      </c>
      <c r="V81" s="46"/>
      <c r="W81" s="46"/>
      <c r="X81" s="46">
        <v>3891</v>
      </c>
      <c r="Y81" s="46"/>
      <c r="Z81" s="46">
        <f t="shared" si="48"/>
        <v>-11.699999999999818</v>
      </c>
      <c r="AA81" s="39">
        <f t="shared" si="49"/>
        <v>-3.0160080426880668E-3</v>
      </c>
      <c r="AB81" s="73">
        <v>3879.3</v>
      </c>
      <c r="AC81" s="73">
        <v>3879.3</v>
      </c>
      <c r="AD81" s="73"/>
      <c r="AE81" s="39"/>
      <c r="AF81" s="74"/>
      <c r="AG81" s="74"/>
      <c r="AH81" s="75"/>
      <c r="AI81" s="75">
        <f t="shared" si="12"/>
        <v>0</v>
      </c>
      <c r="AJ81" s="32"/>
      <c r="AK81" s="32"/>
      <c r="AL81" s="32"/>
      <c r="AM81" s="33"/>
      <c r="AN81" s="33"/>
      <c r="AO81" s="33"/>
      <c r="AP81" s="34">
        <f t="shared" si="13"/>
        <v>0</v>
      </c>
      <c r="AQ81" s="32">
        <f t="shared" si="14"/>
        <v>0</v>
      </c>
      <c r="AR81" s="32">
        <f t="shared" si="15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0"/>
        <v>3879.3</v>
      </c>
      <c r="BC81" s="45">
        <f t="shared" si="51"/>
        <v>3891</v>
      </c>
      <c r="BD81" s="45"/>
      <c r="BE81" s="45">
        <f t="shared" si="59"/>
        <v>-11.699999999999818</v>
      </c>
      <c r="BF81" s="39">
        <f t="shared" si="60"/>
        <v>-3.0160080426880668E-3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65</v>
      </c>
      <c r="F82" s="36">
        <v>46250</v>
      </c>
      <c r="G82" s="24" t="s">
        <v>59</v>
      </c>
      <c r="H82" s="24">
        <v>58</v>
      </c>
      <c r="I82" s="24">
        <v>12</v>
      </c>
      <c r="J82" s="24" t="s">
        <v>67</v>
      </c>
      <c r="K82" s="25">
        <v>162011717</v>
      </c>
      <c r="L82" s="26">
        <v>46251</v>
      </c>
      <c r="M82" s="38">
        <v>46252</v>
      </c>
      <c r="N82" s="52">
        <v>16585</v>
      </c>
      <c r="O82" s="27"/>
      <c r="P82" s="27"/>
      <c r="Q82" s="27"/>
      <c r="R82" s="46">
        <v>4123.6000000000004</v>
      </c>
      <c r="S82" s="46">
        <v>961.00000000000045</v>
      </c>
      <c r="T82" s="46">
        <f t="shared" si="11"/>
        <v>3162.6</v>
      </c>
      <c r="U82" s="46">
        <v>3226.4</v>
      </c>
      <c r="V82" s="46"/>
      <c r="W82" s="46"/>
      <c r="X82" s="46">
        <v>3199</v>
      </c>
      <c r="Y82" s="46"/>
      <c r="Z82" s="46">
        <f t="shared" si="48"/>
        <v>-36.400000000000091</v>
      </c>
      <c r="AA82" s="39">
        <f t="shared" si="49"/>
        <v>-1.1509517485613132E-2</v>
      </c>
      <c r="AB82" s="73">
        <v>3461.9999999999995</v>
      </c>
      <c r="AC82" s="73">
        <v>3162.62</v>
      </c>
      <c r="AD82" s="73"/>
      <c r="AE82" s="39"/>
      <c r="AF82" s="74"/>
      <c r="AG82" s="74"/>
      <c r="AH82" s="75"/>
      <c r="AI82" s="75">
        <f t="shared" si="12"/>
        <v>0</v>
      </c>
      <c r="AJ82" s="32"/>
      <c r="AK82" s="32"/>
      <c r="AL82" s="32"/>
      <c r="AM82" s="33"/>
      <c r="AN82" s="33"/>
      <c r="AO82" s="33"/>
      <c r="AP82" s="34">
        <f t="shared" si="13"/>
        <v>0</v>
      </c>
      <c r="AQ82" s="32">
        <f t="shared" si="14"/>
        <v>0</v>
      </c>
      <c r="AR82" s="32">
        <f t="shared" si="15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0"/>
        <v>3162.62</v>
      </c>
      <c r="BC82" s="45">
        <f t="shared" si="51"/>
        <v>3199</v>
      </c>
      <c r="BD82" s="45"/>
      <c r="BE82" s="45">
        <f t="shared" si="59"/>
        <v>-36.380000000000109</v>
      </c>
      <c r="BF82" s="39">
        <f t="shared" si="60"/>
        <v>-1.1503120830197782E-2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64</v>
      </c>
      <c r="F83" s="36">
        <v>46250</v>
      </c>
      <c r="G83" s="24" t="s">
        <v>59</v>
      </c>
      <c r="H83" s="24">
        <v>59</v>
      </c>
      <c r="I83" s="24">
        <v>0</v>
      </c>
      <c r="J83" s="24" t="s">
        <v>64</v>
      </c>
      <c r="K83" s="25">
        <v>162004404</v>
      </c>
      <c r="L83" s="26">
        <v>46251</v>
      </c>
      <c r="M83" s="38">
        <v>46252</v>
      </c>
      <c r="N83" s="52">
        <v>16586</v>
      </c>
      <c r="O83" s="27"/>
      <c r="P83" s="27"/>
      <c r="Q83" s="27"/>
      <c r="R83" s="46">
        <v>5338.96</v>
      </c>
      <c r="S83" s="46">
        <v>1233.6599999999999</v>
      </c>
      <c r="T83" s="46">
        <f t="shared" si="11"/>
        <v>4105.3</v>
      </c>
      <c r="U83" s="46">
        <v>4118.8</v>
      </c>
      <c r="V83" s="46"/>
      <c r="W83" s="46"/>
      <c r="X83" s="46">
        <v>3974.2</v>
      </c>
      <c r="Y83" s="46"/>
      <c r="Z83" s="46">
        <f t="shared" si="48"/>
        <v>131.10000000000036</v>
      </c>
      <c r="AA83" s="39">
        <f t="shared" si="49"/>
        <v>3.1934328794485267E-2</v>
      </c>
      <c r="AB83" s="73">
        <v>4105.25</v>
      </c>
      <c r="AC83" s="73">
        <v>4105.25</v>
      </c>
      <c r="AD83" s="73"/>
      <c r="AE83" s="39"/>
      <c r="AF83" s="74"/>
      <c r="AG83" s="74"/>
      <c r="AH83" s="75"/>
      <c r="AI83" s="75">
        <f t="shared" si="12"/>
        <v>0</v>
      </c>
      <c r="AJ83" s="32"/>
      <c r="AK83" s="32"/>
      <c r="AL83" s="32"/>
      <c r="AM83" s="33"/>
      <c r="AN83" s="33"/>
      <c r="AO83" s="33"/>
      <c r="AP83" s="34">
        <f t="shared" si="13"/>
        <v>0</v>
      </c>
      <c r="AQ83" s="32">
        <f t="shared" si="14"/>
        <v>0</v>
      </c>
      <c r="AR83" s="32">
        <f t="shared" si="15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0"/>
        <v>4105.25</v>
      </c>
      <c r="BC83" s="45">
        <f t="shared" si="51"/>
        <v>3974.2</v>
      </c>
      <c r="BD83" s="45"/>
      <c r="BE83" s="45">
        <f t="shared" si="59"/>
        <v>131.05000000000018</v>
      </c>
      <c r="BF83" s="39">
        <f t="shared" si="60"/>
        <v>3.1922538213263546E-2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46251</v>
      </c>
      <c r="G84" s="24" t="s">
        <v>59</v>
      </c>
      <c r="H84" s="24">
        <v>59</v>
      </c>
      <c r="I84" s="24">
        <v>0</v>
      </c>
      <c r="J84" s="24" t="s">
        <v>67</v>
      </c>
      <c r="K84" s="25">
        <v>162011719</v>
      </c>
      <c r="L84" s="26">
        <v>46252</v>
      </c>
      <c r="M84" s="38">
        <v>46253</v>
      </c>
      <c r="N84" s="52">
        <v>16589</v>
      </c>
      <c r="O84" s="27"/>
      <c r="P84" s="27"/>
      <c r="Q84" s="27"/>
      <c r="R84" s="46">
        <v>5367.81</v>
      </c>
      <c r="S84" s="46">
        <v>1236.5100000000002</v>
      </c>
      <c r="T84" s="46">
        <f t="shared" si="11"/>
        <v>4131.3</v>
      </c>
      <c r="U84" s="46">
        <v>4155.8</v>
      </c>
      <c r="V84" s="46"/>
      <c r="W84" s="46"/>
      <c r="X84" s="46">
        <v>4199.6000000000004</v>
      </c>
      <c r="Y84" s="46"/>
      <c r="Z84" s="46">
        <f t="shared" si="48"/>
        <v>-68.300000000000182</v>
      </c>
      <c r="AA84" s="39">
        <f t="shared" si="49"/>
        <v>-1.6532326386367532E-2</v>
      </c>
      <c r="AB84" s="73">
        <v>4152.76</v>
      </c>
      <c r="AC84" s="73">
        <v>4150.8599999999997</v>
      </c>
      <c r="AD84" s="73"/>
      <c r="AE84" s="39"/>
      <c r="AF84" s="74"/>
      <c r="AG84" s="74"/>
      <c r="AH84" s="75"/>
      <c r="AI84" s="75">
        <f t="shared" si="12"/>
        <v>0</v>
      </c>
      <c r="AJ84" s="32"/>
      <c r="AK84" s="32"/>
      <c r="AL84" s="32"/>
      <c r="AM84" s="33"/>
      <c r="AN84" s="33"/>
      <c r="AO84" s="33"/>
      <c r="AP84" s="34">
        <f t="shared" si="13"/>
        <v>0</v>
      </c>
      <c r="AQ84" s="32">
        <f t="shared" si="14"/>
        <v>0</v>
      </c>
      <c r="AR84" s="32">
        <f t="shared" si="15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0"/>
        <v>4150.8599999999997</v>
      </c>
      <c r="BC84" s="45">
        <f t="shared" si="51"/>
        <v>4199.6000000000004</v>
      </c>
      <c r="BD84" s="45"/>
      <c r="BE84" s="45">
        <f t="shared" si="59"/>
        <v>-48.740000000000691</v>
      </c>
      <c r="BF84" s="39">
        <f t="shared" si="60"/>
        <v>-1.174214500127701E-2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46252</v>
      </c>
      <c r="G85" s="24" t="s">
        <v>59</v>
      </c>
      <c r="H85" s="24">
        <v>57</v>
      </c>
      <c r="I85" s="24">
        <v>1</v>
      </c>
      <c r="J85" s="24" t="s">
        <v>64</v>
      </c>
      <c r="K85" s="25">
        <v>162004407</v>
      </c>
      <c r="L85" s="26">
        <v>46253</v>
      </c>
      <c r="M85" s="38">
        <v>46254</v>
      </c>
      <c r="N85" s="52">
        <v>16592</v>
      </c>
      <c r="O85" s="27"/>
      <c r="P85" s="27"/>
      <c r="Q85" s="27"/>
      <c r="R85" s="46">
        <v>5066.26</v>
      </c>
      <c r="S85" s="46">
        <v>1171.8600000000001</v>
      </c>
      <c r="T85" s="46">
        <f t="shared" si="11"/>
        <v>3894.4</v>
      </c>
      <c r="U85" s="46">
        <v>3908.8</v>
      </c>
      <c r="V85" s="46"/>
      <c r="W85" s="46"/>
      <c r="X85" s="46">
        <v>3755.4</v>
      </c>
      <c r="Y85" s="46"/>
      <c r="Z85" s="46">
        <f t="shared" si="48"/>
        <v>139</v>
      </c>
      <c r="AA85" s="39">
        <f t="shared" si="49"/>
        <v>3.5692276088742807E-2</v>
      </c>
      <c r="AB85" s="73">
        <v>3894.35</v>
      </c>
      <c r="AC85" s="73">
        <v>3894.35</v>
      </c>
      <c r="AD85" s="73"/>
      <c r="AE85" s="39"/>
      <c r="AF85" s="74"/>
      <c r="AG85" s="74"/>
      <c r="AH85" s="75"/>
      <c r="AI85" s="75">
        <f t="shared" si="12"/>
        <v>0</v>
      </c>
      <c r="AJ85" s="32"/>
      <c r="AK85" s="32"/>
      <c r="AL85" s="32"/>
      <c r="AM85" s="33"/>
      <c r="AN85" s="33"/>
      <c r="AO85" s="33"/>
      <c r="AP85" s="34">
        <f t="shared" si="13"/>
        <v>0</v>
      </c>
      <c r="AQ85" s="32">
        <f t="shared" si="14"/>
        <v>0</v>
      </c>
      <c r="AR85" s="32">
        <f t="shared" si="15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0"/>
        <v>3894.35</v>
      </c>
      <c r="BC85" s="45">
        <f t="shared" si="51"/>
        <v>3755.4</v>
      </c>
      <c r="BD85" s="45"/>
      <c r="BE85" s="45">
        <f t="shared" si="59"/>
        <v>138.94999999999982</v>
      </c>
      <c r="BF85" s="39">
        <f t="shared" si="60"/>
        <v>3.5679895232837266E-2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63</v>
      </c>
      <c r="F86" s="36">
        <v>46253</v>
      </c>
      <c r="G86" s="24" t="s">
        <v>59</v>
      </c>
      <c r="H86" s="24">
        <v>59</v>
      </c>
      <c r="I86" s="24">
        <v>6</v>
      </c>
      <c r="J86" s="24" t="s">
        <v>63</v>
      </c>
      <c r="K86" s="25">
        <v>162006452</v>
      </c>
      <c r="L86" s="26">
        <v>46253</v>
      </c>
      <c r="M86" s="38">
        <v>46254</v>
      </c>
      <c r="N86" s="52">
        <v>16593</v>
      </c>
      <c r="O86" s="27"/>
      <c r="P86" s="27"/>
      <c r="Q86" s="27"/>
      <c r="R86" s="46">
        <v>4811.58</v>
      </c>
      <c r="S86" s="46">
        <v>1109.98</v>
      </c>
      <c r="T86" s="46">
        <f t="shared" si="11"/>
        <v>3701.6</v>
      </c>
      <c r="U86" s="46">
        <v>3703.4</v>
      </c>
      <c r="V86" s="46"/>
      <c r="W86" s="46"/>
      <c r="X86" s="46">
        <v>3674.2</v>
      </c>
      <c r="Y86" s="46"/>
      <c r="Z86" s="46">
        <f t="shared" si="48"/>
        <v>27.400000000000091</v>
      </c>
      <c r="AA86" s="39">
        <f t="shared" si="49"/>
        <v>7.4022044521288343E-3</v>
      </c>
      <c r="AB86" s="73">
        <v>3701.55</v>
      </c>
      <c r="AC86" s="73">
        <v>3701.55</v>
      </c>
      <c r="AD86" s="73"/>
      <c r="AE86" s="39"/>
      <c r="AF86" s="74"/>
      <c r="AG86" s="74"/>
      <c r="AH86" s="75"/>
      <c r="AI86" s="75">
        <f t="shared" si="12"/>
        <v>0</v>
      </c>
      <c r="AJ86" s="32"/>
      <c r="AK86" s="32"/>
      <c r="AL86" s="32"/>
      <c r="AM86" s="33"/>
      <c r="AN86" s="33"/>
      <c r="AO86" s="33"/>
      <c r="AP86" s="34">
        <f t="shared" si="13"/>
        <v>0</v>
      </c>
      <c r="AQ86" s="32">
        <f t="shared" si="14"/>
        <v>0</v>
      </c>
      <c r="AR86" s="32">
        <f t="shared" si="15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0"/>
        <v>3701.55</v>
      </c>
      <c r="BC86" s="45">
        <f t="shared" si="51"/>
        <v>3674.2</v>
      </c>
      <c r="BD86" s="45"/>
      <c r="BE86" s="45">
        <f t="shared" si="59"/>
        <v>27.350000000000364</v>
      </c>
      <c r="BF86" s="39">
        <f t="shared" si="60"/>
        <v>7.3887965852143999E-3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63</v>
      </c>
      <c r="F87" s="36">
        <v>46253</v>
      </c>
      <c r="G87" s="24" t="s">
        <v>59</v>
      </c>
      <c r="H87" s="24">
        <v>58</v>
      </c>
      <c r="I87" s="24">
        <v>2</v>
      </c>
      <c r="J87" s="24" t="s">
        <v>63</v>
      </c>
      <c r="K87" s="25">
        <v>162006453</v>
      </c>
      <c r="L87" s="26">
        <v>46254</v>
      </c>
      <c r="M87" s="38">
        <v>46254</v>
      </c>
      <c r="N87" s="52">
        <v>16594</v>
      </c>
      <c r="O87" s="27"/>
      <c r="P87" s="27"/>
      <c r="Q87" s="27"/>
      <c r="R87" s="46">
        <v>5082.71</v>
      </c>
      <c r="S87" s="46">
        <v>1171.9099999999999</v>
      </c>
      <c r="T87" s="46">
        <f t="shared" ref="T87" si="61">+R87-S87</f>
        <v>3910.8</v>
      </c>
      <c r="U87" s="46">
        <v>3912.2</v>
      </c>
      <c r="V87" s="46"/>
      <c r="W87" s="46"/>
      <c r="X87" s="46">
        <v>3805.2</v>
      </c>
      <c r="Y87" s="46"/>
      <c r="Z87" s="46">
        <f t="shared" si="48"/>
        <v>105.60000000000036</v>
      </c>
      <c r="AA87" s="39">
        <f t="shared" si="49"/>
        <v>2.7002147898128354E-2</v>
      </c>
      <c r="AB87" s="73">
        <v>3910.8</v>
      </c>
      <c r="AC87" s="73">
        <v>3910.8</v>
      </c>
      <c r="AD87" s="73"/>
      <c r="AE87" s="39"/>
      <c r="AF87" s="74"/>
      <c r="AG87" s="74"/>
      <c r="AH87" s="75"/>
      <c r="AI87" s="75">
        <f t="shared" ref="AI87" si="62">+AG87+AH87</f>
        <v>0</v>
      </c>
      <c r="AJ87" s="32"/>
      <c r="AK87" s="32"/>
      <c r="AL87" s="32"/>
      <c r="AM87" s="33"/>
      <c r="AN87" s="33"/>
      <c r="AO87" s="33"/>
      <c r="AP87" s="34">
        <f t="shared" ref="AP87" si="63">ROUNDUP((AO87-AM87+(AO87&lt;AM87))*24,0)</f>
        <v>0</v>
      </c>
      <c r="AQ87" s="32">
        <f t="shared" ref="AQ87" si="64">IF(AP87&gt;5,(AP87-5),0)</f>
        <v>0</v>
      </c>
      <c r="AR87" s="32">
        <f t="shared" ref="AR87" si="65">+AQ87*8850</f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0"/>
        <v>3910.8</v>
      </c>
      <c r="BC87" s="45">
        <f t="shared" si="51"/>
        <v>3805.2</v>
      </c>
      <c r="BD87" s="45"/>
      <c r="BE87" s="45">
        <f t="shared" si="59"/>
        <v>105.60000000000036</v>
      </c>
      <c r="BF87" s="39">
        <f t="shared" si="60"/>
        <v>2.7002147898128354E-2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65</v>
      </c>
      <c r="F88" s="36">
        <v>46254</v>
      </c>
      <c r="G88" s="24" t="s">
        <v>59</v>
      </c>
      <c r="H88" s="24">
        <v>59</v>
      </c>
      <c r="I88" s="24">
        <v>0</v>
      </c>
      <c r="J88" s="24" t="s">
        <v>67</v>
      </c>
      <c r="K88" s="25">
        <v>162011721</v>
      </c>
      <c r="L88" s="26">
        <v>46254</v>
      </c>
      <c r="M88" s="38">
        <v>46256</v>
      </c>
      <c r="N88" s="52">
        <v>16599</v>
      </c>
      <c r="O88" s="27"/>
      <c r="P88" s="27"/>
      <c r="Q88" s="27"/>
      <c r="R88" s="46">
        <v>5183.7299999999996</v>
      </c>
      <c r="S88" s="46">
        <v>1199.2299999999996</v>
      </c>
      <c r="T88" s="46">
        <f t="shared" si="0"/>
        <v>3984.5</v>
      </c>
      <c r="U88" s="46">
        <v>4010.2</v>
      </c>
      <c r="V88" s="46"/>
      <c r="W88" s="46"/>
      <c r="X88" s="46">
        <v>4055.6</v>
      </c>
      <c r="Y88" s="46"/>
      <c r="Z88" s="46">
        <f t="shared" si="48"/>
        <v>-71.099999999999909</v>
      </c>
      <c r="AA88" s="39">
        <f t="shared" si="49"/>
        <v>-1.7844146066005751E-2</v>
      </c>
      <c r="AB88" s="73">
        <v>4007.28</v>
      </c>
      <c r="AC88" s="73">
        <v>4000.58</v>
      </c>
      <c r="AD88" s="73"/>
      <c r="AE88" s="39"/>
      <c r="AF88" s="74"/>
      <c r="AG88" s="74"/>
      <c r="AH88" s="75"/>
      <c r="AI88" s="75">
        <f t="shared" si="3"/>
        <v>0</v>
      </c>
      <c r="AJ88" s="32"/>
      <c r="AK88" s="32"/>
      <c r="AL88" s="32"/>
      <c r="AM88" s="33"/>
      <c r="AN88" s="33"/>
      <c r="AO88" s="33"/>
      <c r="AP88" s="34">
        <f t="shared" si="4"/>
        <v>0</v>
      </c>
      <c r="AQ88" s="32">
        <f t="shared" si="5"/>
        <v>0</v>
      </c>
      <c r="AR88" s="32">
        <f t="shared" si="6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0"/>
        <v>4000.58</v>
      </c>
      <c r="BC88" s="45">
        <f t="shared" si="51"/>
        <v>4055.6</v>
      </c>
      <c r="BD88" s="45"/>
      <c r="BE88" s="45">
        <f t="shared" ref="BE88:BE110" si="66">+BB88-BC88</f>
        <v>-55.019999999999982</v>
      </c>
      <c r="BF88" s="39">
        <f t="shared" ref="BF88:BF111" si="67">+BE88/BB88</f>
        <v>-1.3753005814156944E-2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65</v>
      </c>
      <c r="F89" s="36">
        <v>46255</v>
      </c>
      <c r="G89" s="24" t="s">
        <v>59</v>
      </c>
      <c r="H89" s="24">
        <v>58</v>
      </c>
      <c r="I89" s="24">
        <v>1</v>
      </c>
      <c r="J89" s="24" t="s">
        <v>67</v>
      </c>
      <c r="K89" s="25">
        <v>162011724</v>
      </c>
      <c r="L89" s="26">
        <v>46256</v>
      </c>
      <c r="M89" s="38">
        <v>46257</v>
      </c>
      <c r="N89" s="52">
        <v>16606</v>
      </c>
      <c r="O89" s="27"/>
      <c r="P89" s="27"/>
      <c r="Q89" s="27"/>
      <c r="R89" s="46">
        <v>4996.3999999999996</v>
      </c>
      <c r="S89" s="46">
        <v>1208.6999999999998</v>
      </c>
      <c r="T89" s="46">
        <f t="shared" ref="T89:T109" si="68">+R89-S89</f>
        <v>3787.7</v>
      </c>
      <c r="U89" s="46">
        <v>3965.6</v>
      </c>
      <c r="V89" s="46"/>
      <c r="W89" s="46"/>
      <c r="X89" s="46">
        <v>3917.2</v>
      </c>
      <c r="Y89" s="46"/>
      <c r="Z89" s="46">
        <f t="shared" si="48"/>
        <v>-129.5</v>
      </c>
      <c r="AA89" s="39">
        <f t="shared" si="49"/>
        <v>-3.4189613749768991E-2</v>
      </c>
      <c r="AB89" s="73">
        <v>3796.25</v>
      </c>
      <c r="AC89" s="73">
        <v>3787.68</v>
      </c>
      <c r="AD89" s="73"/>
      <c r="AE89" s="39"/>
      <c r="AF89" s="74"/>
      <c r="AG89" s="74"/>
      <c r="AH89" s="75"/>
      <c r="AI89" s="75">
        <f t="shared" ref="AI89:AI109" si="69">+AG89+AH89</f>
        <v>0</v>
      </c>
      <c r="AJ89" s="32"/>
      <c r="AK89" s="32"/>
      <c r="AL89" s="32"/>
      <c r="AM89" s="33"/>
      <c r="AN89" s="33"/>
      <c r="AO89" s="33"/>
      <c r="AP89" s="34">
        <f t="shared" ref="AP89:AP109" si="70">ROUNDUP((AO89-AM89+(AO89&lt;AM89))*24,0)</f>
        <v>0</v>
      </c>
      <c r="AQ89" s="32">
        <f t="shared" ref="AQ89:AQ109" si="71">IF(AP89&gt;5,(AP89-5),0)</f>
        <v>0</v>
      </c>
      <c r="AR89" s="32">
        <f t="shared" ref="AR89:AR109" si="72">+AQ89*8850</f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0"/>
        <v>3787.68</v>
      </c>
      <c r="BC89" s="45">
        <f t="shared" si="51"/>
        <v>3917.2</v>
      </c>
      <c r="BD89" s="45"/>
      <c r="BE89" s="45">
        <f t="shared" ref="BE89:BE109" si="73">+BB89-BC89</f>
        <v>-129.51999999999998</v>
      </c>
      <c r="BF89" s="39">
        <f t="shared" ref="BF89:BF109" si="74">+BE89/BB89</f>
        <v>-3.4195074557512778E-2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64</v>
      </c>
      <c r="F90" s="36">
        <v>46255</v>
      </c>
      <c r="G90" s="24" t="s">
        <v>59</v>
      </c>
      <c r="H90" s="24">
        <v>58</v>
      </c>
      <c r="I90" s="24">
        <v>1</v>
      </c>
      <c r="J90" s="24" t="s">
        <v>64</v>
      </c>
      <c r="K90" s="25">
        <v>162004411</v>
      </c>
      <c r="L90" s="26">
        <v>46255</v>
      </c>
      <c r="M90" s="38">
        <v>46257</v>
      </c>
      <c r="N90" s="52">
        <v>16604</v>
      </c>
      <c r="O90" s="27"/>
      <c r="P90" s="27"/>
      <c r="Q90" s="27"/>
      <c r="R90" s="46">
        <v>5147.2700000000004</v>
      </c>
      <c r="S90" s="46">
        <v>1194.8700000000003</v>
      </c>
      <c r="T90" s="46">
        <f t="shared" si="68"/>
        <v>3952.4</v>
      </c>
      <c r="U90" s="46">
        <v>3973.4</v>
      </c>
      <c r="V90" s="46"/>
      <c r="W90" s="46"/>
      <c r="X90" s="46">
        <v>3979.6</v>
      </c>
      <c r="Y90" s="46"/>
      <c r="Z90" s="46">
        <f t="shared" si="48"/>
        <v>-27.199999999999818</v>
      </c>
      <c r="AA90" s="39">
        <f t="shared" si="49"/>
        <v>-6.8818945450864833E-3</v>
      </c>
      <c r="AB90" s="73">
        <v>3952.35</v>
      </c>
      <c r="AC90" s="73">
        <v>3952.35</v>
      </c>
      <c r="AD90" s="73"/>
      <c r="AE90" s="39"/>
      <c r="AF90" s="74"/>
      <c r="AG90" s="74"/>
      <c r="AH90" s="75"/>
      <c r="AI90" s="75">
        <f t="shared" si="69"/>
        <v>0</v>
      </c>
      <c r="AJ90" s="32"/>
      <c r="AK90" s="32"/>
      <c r="AL90" s="32"/>
      <c r="AM90" s="33"/>
      <c r="AN90" s="33"/>
      <c r="AO90" s="33"/>
      <c r="AP90" s="34">
        <f t="shared" si="70"/>
        <v>0</v>
      </c>
      <c r="AQ90" s="32">
        <f t="shared" si="71"/>
        <v>0</v>
      </c>
      <c r="AR90" s="32">
        <f t="shared" si="72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0"/>
        <v>3952.35</v>
      </c>
      <c r="BC90" s="45">
        <f t="shared" si="51"/>
        <v>3979.6</v>
      </c>
      <c r="BD90" s="45"/>
      <c r="BE90" s="45">
        <f t="shared" si="73"/>
        <v>-27.25</v>
      </c>
      <c r="BF90" s="39">
        <f t="shared" si="74"/>
        <v>-6.8946323073614431E-3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63</v>
      </c>
      <c r="F91" s="36">
        <v>46256</v>
      </c>
      <c r="G91" s="24" t="s">
        <v>59</v>
      </c>
      <c r="H91" s="24">
        <v>58</v>
      </c>
      <c r="I91" s="24">
        <v>0</v>
      </c>
      <c r="J91" s="24" t="s">
        <v>63</v>
      </c>
      <c r="K91" s="25">
        <v>162006457</v>
      </c>
      <c r="L91" s="26">
        <v>46256</v>
      </c>
      <c r="M91" s="38">
        <v>46258</v>
      </c>
      <c r="N91" s="52">
        <v>16609</v>
      </c>
      <c r="O91" s="27"/>
      <c r="P91" s="27"/>
      <c r="Q91" s="27"/>
      <c r="R91" s="46">
        <v>5260.17</v>
      </c>
      <c r="S91" s="46">
        <v>1212.27</v>
      </c>
      <c r="T91" s="46">
        <f t="shared" si="68"/>
        <v>4047.9</v>
      </c>
      <c r="U91" s="46">
        <v>4051</v>
      </c>
      <c r="V91" s="46"/>
      <c r="W91" s="46"/>
      <c r="X91" s="46">
        <v>4050.4</v>
      </c>
      <c r="Y91" s="46"/>
      <c r="Z91" s="46">
        <f t="shared" si="48"/>
        <v>-2.5</v>
      </c>
      <c r="AA91" s="39">
        <f t="shared" si="49"/>
        <v>-6.1760418982682375E-4</v>
      </c>
      <c r="AB91" s="73">
        <v>4047.85</v>
      </c>
      <c r="AC91" s="73">
        <v>4047.85</v>
      </c>
      <c r="AD91" s="73"/>
      <c r="AE91" s="39"/>
      <c r="AF91" s="74"/>
      <c r="AG91" s="74"/>
      <c r="AH91" s="75"/>
      <c r="AI91" s="75">
        <f t="shared" si="69"/>
        <v>0</v>
      </c>
      <c r="AJ91" s="32"/>
      <c r="AK91" s="32"/>
      <c r="AL91" s="32"/>
      <c r="AM91" s="33"/>
      <c r="AN91" s="33"/>
      <c r="AO91" s="33"/>
      <c r="AP91" s="34">
        <f t="shared" si="70"/>
        <v>0</v>
      </c>
      <c r="AQ91" s="32">
        <f t="shared" si="71"/>
        <v>0</v>
      </c>
      <c r="AR91" s="32">
        <f t="shared" si="72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0"/>
        <v>4047.85</v>
      </c>
      <c r="BC91" s="45">
        <f t="shared" si="51"/>
        <v>4050.4</v>
      </c>
      <c r="BD91" s="45"/>
      <c r="BE91" s="45">
        <f t="shared" si="73"/>
        <v>-2.5500000000001819</v>
      </c>
      <c r="BF91" s="39">
        <f t="shared" si="74"/>
        <v>-6.2996405499220133E-4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65</v>
      </c>
      <c r="F92" s="36">
        <v>46256</v>
      </c>
      <c r="G92" s="24" t="s">
        <v>59</v>
      </c>
      <c r="H92" s="24">
        <v>58</v>
      </c>
      <c r="I92" s="24">
        <v>0</v>
      </c>
      <c r="J92" s="24" t="s">
        <v>67</v>
      </c>
      <c r="K92" s="25">
        <v>162011726</v>
      </c>
      <c r="L92" s="26">
        <v>46256</v>
      </c>
      <c r="M92" s="38">
        <v>46258</v>
      </c>
      <c r="N92" s="52">
        <v>16610</v>
      </c>
      <c r="O92" s="27"/>
      <c r="P92" s="27"/>
      <c r="Q92" s="27"/>
      <c r="R92" s="46">
        <v>5261.8</v>
      </c>
      <c r="S92" s="46">
        <v>1219.6000000000004</v>
      </c>
      <c r="T92" s="46">
        <f t="shared" si="68"/>
        <v>4042.2</v>
      </c>
      <c r="U92" s="46">
        <v>4074.2</v>
      </c>
      <c r="V92" s="46"/>
      <c r="W92" s="46"/>
      <c r="X92" s="46">
        <v>4037.2</v>
      </c>
      <c r="Y92" s="46"/>
      <c r="Z92" s="46">
        <f t="shared" si="48"/>
        <v>5</v>
      </c>
      <c r="AA92" s="39">
        <f t="shared" si="49"/>
        <v>1.2369501756469251E-3</v>
      </c>
      <c r="AB92" s="73">
        <v>4046.23</v>
      </c>
      <c r="AC92" s="73">
        <v>4042.23</v>
      </c>
      <c r="AD92" s="73"/>
      <c r="AE92" s="39"/>
      <c r="AF92" s="74"/>
      <c r="AG92" s="74"/>
      <c r="AH92" s="75"/>
      <c r="AI92" s="75">
        <f t="shared" si="69"/>
        <v>0</v>
      </c>
      <c r="AJ92" s="32"/>
      <c r="AK92" s="32"/>
      <c r="AL92" s="32"/>
      <c r="AM92" s="33"/>
      <c r="AN92" s="33"/>
      <c r="AO92" s="33"/>
      <c r="AP92" s="34">
        <f t="shared" si="70"/>
        <v>0</v>
      </c>
      <c r="AQ92" s="32">
        <f t="shared" si="71"/>
        <v>0</v>
      </c>
      <c r="AR92" s="32">
        <f t="shared" si="72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0"/>
        <v>4042.23</v>
      </c>
      <c r="BC92" s="45">
        <f t="shared" si="51"/>
        <v>4037.2</v>
      </c>
      <c r="BD92" s="45"/>
      <c r="BE92" s="45">
        <f t="shared" si="73"/>
        <v>5.0300000000002001</v>
      </c>
      <c r="BF92" s="39">
        <f t="shared" si="74"/>
        <v>1.2443626414133289E-3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66</v>
      </c>
      <c r="F93" s="36">
        <v>46256</v>
      </c>
      <c r="G93" s="24" t="s">
        <v>59</v>
      </c>
      <c r="H93" s="24">
        <v>59</v>
      </c>
      <c r="I93" s="24">
        <v>0</v>
      </c>
      <c r="J93" s="24" t="s">
        <v>66</v>
      </c>
      <c r="K93" s="25">
        <v>162003211</v>
      </c>
      <c r="L93" s="26">
        <v>46257</v>
      </c>
      <c r="M93" s="38">
        <v>46258</v>
      </c>
      <c r="N93" s="52">
        <v>16612</v>
      </c>
      <c r="O93" s="27"/>
      <c r="P93" s="27"/>
      <c r="Q93" s="27"/>
      <c r="R93" s="46">
        <v>5349.67</v>
      </c>
      <c r="S93" s="46">
        <v>1232.4700000000003</v>
      </c>
      <c r="T93" s="46">
        <f t="shared" si="68"/>
        <v>4117.2</v>
      </c>
      <c r="U93" s="46">
        <v>4117.3999999999996</v>
      </c>
      <c r="V93" s="46"/>
      <c r="W93" s="46"/>
      <c r="X93" s="46">
        <v>4023.4</v>
      </c>
      <c r="Y93" s="46"/>
      <c r="Z93" s="46">
        <f t="shared" si="48"/>
        <v>93.799999999999727</v>
      </c>
      <c r="AA93" s="39">
        <f t="shared" si="49"/>
        <v>2.2782473525697011E-2</v>
      </c>
      <c r="AB93" s="73">
        <v>4117.16</v>
      </c>
      <c r="AC93" s="73">
        <v>4117.18</v>
      </c>
      <c r="AD93" s="73"/>
      <c r="AE93" s="39"/>
      <c r="AF93" s="74"/>
      <c r="AG93" s="74"/>
      <c r="AH93" s="75"/>
      <c r="AI93" s="75">
        <f t="shared" si="69"/>
        <v>0</v>
      </c>
      <c r="AJ93" s="32"/>
      <c r="AK93" s="32"/>
      <c r="AL93" s="32"/>
      <c r="AM93" s="33"/>
      <c r="AN93" s="33"/>
      <c r="AO93" s="33"/>
      <c r="AP93" s="34">
        <f t="shared" si="70"/>
        <v>0</v>
      </c>
      <c r="AQ93" s="32">
        <f t="shared" si="71"/>
        <v>0</v>
      </c>
      <c r="AR93" s="32">
        <f t="shared" si="72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0"/>
        <v>4117.18</v>
      </c>
      <c r="BC93" s="45">
        <f t="shared" si="51"/>
        <v>4023.4</v>
      </c>
      <c r="BD93" s="45"/>
      <c r="BE93" s="45">
        <f t="shared" si="73"/>
        <v>93.7800000000002</v>
      </c>
      <c r="BF93" s="39">
        <f t="shared" si="74"/>
        <v>2.277772650212043E-2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46256</v>
      </c>
      <c r="G94" s="24" t="s">
        <v>59</v>
      </c>
      <c r="H94" s="24">
        <v>58</v>
      </c>
      <c r="I94" s="24">
        <v>4</v>
      </c>
      <c r="J94" s="24" t="s">
        <v>64</v>
      </c>
      <c r="K94" s="25">
        <v>162004413</v>
      </c>
      <c r="L94" s="26">
        <v>46257</v>
      </c>
      <c r="M94" s="38">
        <v>46258</v>
      </c>
      <c r="N94" s="52">
        <v>16613</v>
      </c>
      <c r="O94" s="27"/>
      <c r="P94" s="27"/>
      <c r="Q94" s="27"/>
      <c r="R94" s="46">
        <v>4882.43</v>
      </c>
      <c r="S94" s="46">
        <v>1127.5300000000002</v>
      </c>
      <c r="T94" s="46">
        <f t="shared" si="68"/>
        <v>3754.9</v>
      </c>
      <c r="U94" s="46">
        <v>3768.4</v>
      </c>
      <c r="V94" s="46"/>
      <c r="W94" s="46"/>
      <c r="X94" s="46">
        <v>3746.2</v>
      </c>
      <c r="Y94" s="46"/>
      <c r="Z94" s="46">
        <f t="shared" si="48"/>
        <v>8.7000000000002728</v>
      </c>
      <c r="AA94" s="39">
        <f t="shared" si="49"/>
        <v>2.3169724892807457E-3</v>
      </c>
      <c r="AB94" s="73">
        <v>3754.85</v>
      </c>
      <c r="AC94" s="73">
        <v>3754.85</v>
      </c>
      <c r="AD94" s="73"/>
      <c r="AE94" s="39"/>
      <c r="AF94" s="74"/>
      <c r="AG94" s="74"/>
      <c r="AH94" s="75"/>
      <c r="AI94" s="75">
        <f t="shared" si="69"/>
        <v>0</v>
      </c>
      <c r="AJ94" s="32"/>
      <c r="AK94" s="32"/>
      <c r="AL94" s="32"/>
      <c r="AM94" s="33"/>
      <c r="AN94" s="33"/>
      <c r="AO94" s="33"/>
      <c r="AP94" s="34">
        <f t="shared" si="70"/>
        <v>0</v>
      </c>
      <c r="AQ94" s="32">
        <f t="shared" si="71"/>
        <v>0</v>
      </c>
      <c r="AR94" s="32">
        <f t="shared" si="72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0"/>
        <v>3754.85</v>
      </c>
      <c r="BC94" s="45">
        <f t="shared" si="51"/>
        <v>3746.2</v>
      </c>
      <c r="BD94" s="45"/>
      <c r="BE94" s="45">
        <f t="shared" si="73"/>
        <v>8.6500000000000909</v>
      </c>
      <c r="BF94" s="39">
        <f t="shared" si="74"/>
        <v>2.3036872311810301E-3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64</v>
      </c>
      <c r="F95" s="36">
        <v>46257</v>
      </c>
      <c r="G95" s="24" t="s">
        <v>59</v>
      </c>
      <c r="H95" s="24">
        <v>59</v>
      </c>
      <c r="I95" s="24">
        <v>0</v>
      </c>
      <c r="J95" s="24" t="s">
        <v>64</v>
      </c>
      <c r="K95" s="25">
        <v>162004415</v>
      </c>
      <c r="L95" s="26">
        <v>46258</v>
      </c>
      <c r="M95" s="38">
        <v>46259</v>
      </c>
      <c r="N95" s="52">
        <v>16615</v>
      </c>
      <c r="O95" s="27"/>
      <c r="P95" s="27"/>
      <c r="Q95" s="27"/>
      <c r="R95" s="46">
        <v>5334.45</v>
      </c>
      <c r="S95" s="46">
        <v>1233.6499999999996</v>
      </c>
      <c r="T95" s="46">
        <f t="shared" ref="T95:T102" si="75">+R95-S95</f>
        <v>4100.8</v>
      </c>
      <c r="U95" s="46">
        <v>4117.3999999999996</v>
      </c>
      <c r="V95" s="46"/>
      <c r="W95" s="46"/>
      <c r="X95" s="46">
        <v>4060.8</v>
      </c>
      <c r="Y95" s="46"/>
      <c r="Z95" s="46">
        <f t="shared" si="48"/>
        <v>40</v>
      </c>
      <c r="AA95" s="39">
        <f t="shared" si="49"/>
        <v>9.7541943035505257E-3</v>
      </c>
      <c r="AB95" s="73">
        <v>4100.8</v>
      </c>
      <c r="AC95" s="73">
        <v>4100.8</v>
      </c>
      <c r="AD95" s="73"/>
      <c r="AE95" s="39"/>
      <c r="AF95" s="74"/>
      <c r="AG95" s="74"/>
      <c r="AH95" s="75"/>
      <c r="AI95" s="75">
        <f t="shared" ref="AI95:AI102" si="76">+AG95+AH95</f>
        <v>0</v>
      </c>
      <c r="AJ95" s="32"/>
      <c r="AK95" s="32"/>
      <c r="AL95" s="32"/>
      <c r="AM95" s="33"/>
      <c r="AN95" s="33"/>
      <c r="AO95" s="33"/>
      <c r="AP95" s="34">
        <f t="shared" ref="AP95:AP102" si="77">ROUNDUP((AO95-AM95+(AO95&lt;AM95))*24,0)</f>
        <v>0</v>
      </c>
      <c r="AQ95" s="32">
        <f t="shared" ref="AQ95:AQ102" si="78">IF(AP95&gt;5,(AP95-5),0)</f>
        <v>0</v>
      </c>
      <c r="AR95" s="32">
        <f t="shared" ref="AR95:AR102" si="79">+AQ95*8850</f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0"/>
        <v>4100.8</v>
      </c>
      <c r="BC95" s="45">
        <f t="shared" si="51"/>
        <v>4060.8</v>
      </c>
      <c r="BD95" s="45"/>
      <c r="BE95" s="45">
        <f t="shared" ref="BE95:BE102" si="80">+BB95-BC95</f>
        <v>40</v>
      </c>
      <c r="BF95" s="39">
        <f t="shared" ref="BF95:BF102" si="81">+BE95/BB95</f>
        <v>9.7541943035505257E-3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66</v>
      </c>
      <c r="F96" s="36">
        <v>46257</v>
      </c>
      <c r="G96" s="24" t="s">
        <v>59</v>
      </c>
      <c r="H96" s="24">
        <v>58</v>
      </c>
      <c r="I96" s="24">
        <v>7</v>
      </c>
      <c r="J96" s="24" t="s">
        <v>66</v>
      </c>
      <c r="K96" s="25">
        <v>162003213</v>
      </c>
      <c r="L96" s="26">
        <v>46257</v>
      </c>
      <c r="M96" s="38">
        <v>46259</v>
      </c>
      <c r="N96" s="52">
        <v>16619</v>
      </c>
      <c r="O96" s="27"/>
      <c r="P96" s="27"/>
      <c r="Q96" s="27"/>
      <c r="R96" s="46">
        <v>4625.7</v>
      </c>
      <c r="S96" s="46">
        <v>1069.5</v>
      </c>
      <c r="T96" s="46">
        <f t="shared" si="75"/>
        <v>3556.2</v>
      </c>
      <c r="U96" s="46">
        <v>3556.4</v>
      </c>
      <c r="V96" s="46"/>
      <c r="W96" s="46"/>
      <c r="X96" s="46">
        <v>3579.4</v>
      </c>
      <c r="Y96" s="46"/>
      <c r="Z96" s="46">
        <f t="shared" si="48"/>
        <v>-23.200000000000273</v>
      </c>
      <c r="AA96" s="39">
        <f t="shared" si="49"/>
        <v>-6.5238175580676775E-3</v>
      </c>
      <c r="AB96" s="73">
        <v>3656.72</v>
      </c>
      <c r="AC96" s="73">
        <v>3556.22</v>
      </c>
      <c r="AD96" s="73"/>
      <c r="AE96" s="39"/>
      <c r="AF96" s="74"/>
      <c r="AG96" s="74"/>
      <c r="AH96" s="75"/>
      <c r="AI96" s="75">
        <f t="shared" si="76"/>
        <v>0</v>
      </c>
      <c r="AJ96" s="32"/>
      <c r="AK96" s="32"/>
      <c r="AL96" s="32"/>
      <c r="AM96" s="33"/>
      <c r="AN96" s="33"/>
      <c r="AO96" s="33"/>
      <c r="AP96" s="34">
        <f t="shared" si="77"/>
        <v>0</v>
      </c>
      <c r="AQ96" s="32">
        <f t="shared" si="78"/>
        <v>0</v>
      </c>
      <c r="AR96" s="32">
        <f t="shared" si="79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0"/>
        <v>3556.22</v>
      </c>
      <c r="BC96" s="45">
        <f t="shared" si="51"/>
        <v>3579.4</v>
      </c>
      <c r="BD96" s="45"/>
      <c r="BE96" s="45">
        <f t="shared" si="80"/>
        <v>-23.180000000000291</v>
      </c>
      <c r="BF96" s="39">
        <f t="shared" si="81"/>
        <v>-6.5181569194257645E-3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63</v>
      </c>
      <c r="F97" s="36">
        <v>46257</v>
      </c>
      <c r="G97" s="24" t="s">
        <v>59</v>
      </c>
      <c r="H97" s="24">
        <v>59</v>
      </c>
      <c r="I97" s="24">
        <v>3</v>
      </c>
      <c r="J97" s="24" t="s">
        <v>63</v>
      </c>
      <c r="K97" s="25">
        <v>162006463</v>
      </c>
      <c r="L97" s="26">
        <v>46258</v>
      </c>
      <c r="M97" s="38">
        <v>46260</v>
      </c>
      <c r="N97" s="52">
        <v>16620</v>
      </c>
      <c r="O97" s="27"/>
      <c r="P97" s="27"/>
      <c r="Q97" s="27"/>
      <c r="R97" s="46">
        <v>5067.75</v>
      </c>
      <c r="S97" s="46">
        <v>1175.8499999999999</v>
      </c>
      <c r="T97" s="46">
        <f t="shared" si="75"/>
        <v>3891.9</v>
      </c>
      <c r="U97" s="46">
        <v>3905.2</v>
      </c>
      <c r="V97" s="46"/>
      <c r="W97" s="46"/>
      <c r="X97" s="46">
        <v>4017</v>
      </c>
      <c r="Y97" s="46"/>
      <c r="Z97" s="46">
        <f t="shared" si="48"/>
        <v>-125.09999999999991</v>
      </c>
      <c r="AA97" s="39">
        <f t="shared" si="49"/>
        <v>-3.2143683033993654E-2</v>
      </c>
      <c r="AB97" s="73">
        <v>3891.25</v>
      </c>
      <c r="AC97" s="73">
        <v>3891.85</v>
      </c>
      <c r="AD97" s="73"/>
      <c r="AE97" s="39"/>
      <c r="AF97" s="74"/>
      <c r="AG97" s="74"/>
      <c r="AH97" s="75"/>
      <c r="AI97" s="75">
        <f t="shared" si="76"/>
        <v>0</v>
      </c>
      <c r="AJ97" s="32"/>
      <c r="AK97" s="32"/>
      <c r="AL97" s="32"/>
      <c r="AM97" s="33"/>
      <c r="AN97" s="33"/>
      <c r="AO97" s="33"/>
      <c r="AP97" s="34">
        <f t="shared" si="77"/>
        <v>0</v>
      </c>
      <c r="AQ97" s="32">
        <f t="shared" si="78"/>
        <v>0</v>
      </c>
      <c r="AR97" s="32">
        <f t="shared" si="79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0"/>
        <v>3891.85</v>
      </c>
      <c r="BC97" s="45">
        <f t="shared" si="51"/>
        <v>4017</v>
      </c>
      <c r="BD97" s="45"/>
      <c r="BE97" s="45">
        <f t="shared" si="80"/>
        <v>-125.15000000000009</v>
      </c>
      <c r="BF97" s="39">
        <f t="shared" si="81"/>
        <v>-3.2156943355987538E-2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46259</v>
      </c>
      <c r="G98" s="24" t="s">
        <v>59</v>
      </c>
      <c r="H98" s="24">
        <v>58</v>
      </c>
      <c r="I98" s="24">
        <v>3</v>
      </c>
      <c r="J98" s="24" t="s">
        <v>67</v>
      </c>
      <c r="K98" s="25">
        <v>162011729</v>
      </c>
      <c r="L98" s="26">
        <v>46259</v>
      </c>
      <c r="M98" s="38">
        <v>46261</v>
      </c>
      <c r="N98" s="52">
        <v>16626</v>
      </c>
      <c r="O98" s="27"/>
      <c r="P98" s="27"/>
      <c r="Q98" s="27"/>
      <c r="R98" s="46">
        <v>4989.3999999999996</v>
      </c>
      <c r="S98" s="46">
        <v>1154.0999999999995</v>
      </c>
      <c r="T98" s="46">
        <f t="shared" si="75"/>
        <v>3835.3</v>
      </c>
      <c r="U98" s="46">
        <v>3870.4</v>
      </c>
      <c r="V98" s="46"/>
      <c r="W98" s="46"/>
      <c r="X98" s="46">
        <v>3890.3</v>
      </c>
      <c r="Y98" s="46"/>
      <c r="Z98" s="46">
        <f t="shared" si="48"/>
        <v>-55</v>
      </c>
      <c r="AA98" s="39">
        <f t="shared" si="49"/>
        <v>-1.4340468802961958E-2</v>
      </c>
      <c r="AB98" s="73">
        <v>3847.16</v>
      </c>
      <c r="AC98" s="73">
        <v>3835.3</v>
      </c>
      <c r="AD98" s="73"/>
      <c r="AE98" s="39"/>
      <c r="AF98" s="74"/>
      <c r="AG98" s="74"/>
      <c r="AH98" s="75"/>
      <c r="AI98" s="75">
        <f t="shared" si="76"/>
        <v>0</v>
      </c>
      <c r="AJ98" s="32"/>
      <c r="AK98" s="32"/>
      <c r="AL98" s="32"/>
      <c r="AM98" s="33"/>
      <c r="AN98" s="33"/>
      <c r="AO98" s="33"/>
      <c r="AP98" s="34">
        <f t="shared" si="77"/>
        <v>0</v>
      </c>
      <c r="AQ98" s="32">
        <f t="shared" si="78"/>
        <v>0</v>
      </c>
      <c r="AR98" s="32">
        <f t="shared" si="79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0"/>
        <v>3835.3</v>
      </c>
      <c r="BC98" s="45">
        <f t="shared" si="51"/>
        <v>3890.3</v>
      </c>
      <c r="BD98" s="45"/>
      <c r="BE98" s="45">
        <f t="shared" si="80"/>
        <v>-55</v>
      </c>
      <c r="BF98" s="39">
        <f t="shared" si="81"/>
        <v>-1.4340468802961958E-2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66</v>
      </c>
      <c r="F99" s="36">
        <v>46259</v>
      </c>
      <c r="G99" s="24" t="s">
        <v>59</v>
      </c>
      <c r="H99" s="24">
        <v>59</v>
      </c>
      <c r="I99" s="24">
        <v>0</v>
      </c>
      <c r="J99" s="24" t="s">
        <v>66</v>
      </c>
      <c r="K99" s="25">
        <v>162003217</v>
      </c>
      <c r="L99" s="26">
        <v>46259</v>
      </c>
      <c r="M99" s="38">
        <v>46261</v>
      </c>
      <c r="N99" s="52">
        <v>16627</v>
      </c>
      <c r="O99" s="27"/>
      <c r="P99" s="27"/>
      <c r="Q99" s="27"/>
      <c r="R99" s="46">
        <v>5350.5</v>
      </c>
      <c r="S99" s="46">
        <v>1233.5</v>
      </c>
      <c r="T99" s="46">
        <f t="shared" si="75"/>
        <v>4117</v>
      </c>
      <c r="U99" s="46">
        <v>4117.2</v>
      </c>
      <c r="V99" s="46"/>
      <c r="W99" s="46"/>
      <c r="X99" s="46">
        <v>4223.2</v>
      </c>
      <c r="Y99" s="46"/>
      <c r="Z99" s="46">
        <f t="shared" si="48"/>
        <v>-106.19999999999982</v>
      </c>
      <c r="AA99" s="39">
        <f t="shared" si="49"/>
        <v>-2.5795482147194515E-2</v>
      </c>
      <c r="AB99" s="73">
        <v>4117.07</v>
      </c>
      <c r="AC99" s="73">
        <v>4117.04</v>
      </c>
      <c r="AD99" s="73"/>
      <c r="AE99" s="39"/>
      <c r="AF99" s="74"/>
      <c r="AG99" s="74"/>
      <c r="AH99" s="75"/>
      <c r="AI99" s="75">
        <f t="shared" si="76"/>
        <v>0</v>
      </c>
      <c r="AJ99" s="32"/>
      <c r="AK99" s="32"/>
      <c r="AL99" s="32"/>
      <c r="AM99" s="33"/>
      <c r="AN99" s="33"/>
      <c r="AO99" s="33"/>
      <c r="AP99" s="34">
        <f t="shared" si="77"/>
        <v>0</v>
      </c>
      <c r="AQ99" s="32">
        <f t="shared" si="78"/>
        <v>0</v>
      </c>
      <c r="AR99" s="32">
        <f t="shared" si="79"/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0"/>
        <v>4117.04</v>
      </c>
      <c r="BC99" s="45">
        <f t="shared" si="51"/>
        <v>4223.2</v>
      </c>
      <c r="BD99" s="45"/>
      <c r="BE99" s="45">
        <f t="shared" si="80"/>
        <v>-106.15999999999985</v>
      </c>
      <c r="BF99" s="39">
        <f t="shared" si="81"/>
        <v>-2.5785515807473295E-2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63</v>
      </c>
      <c r="F100" s="36">
        <v>46260</v>
      </c>
      <c r="G100" s="24" t="s">
        <v>59</v>
      </c>
      <c r="H100" s="24">
        <v>58</v>
      </c>
      <c r="I100" s="24">
        <v>1</v>
      </c>
      <c r="J100" s="24" t="s">
        <v>63</v>
      </c>
      <c r="K100" s="25">
        <v>162006472</v>
      </c>
      <c r="L100" s="26">
        <v>46260</v>
      </c>
      <c r="M100" s="38">
        <v>46262</v>
      </c>
      <c r="N100" s="52">
        <v>16631</v>
      </c>
      <c r="O100" s="27"/>
      <c r="P100" s="27"/>
      <c r="Q100" s="27"/>
      <c r="R100" s="46">
        <v>5174.1499999999996</v>
      </c>
      <c r="S100" s="46">
        <v>1218.5499999999997</v>
      </c>
      <c r="T100" s="46">
        <f t="shared" si="75"/>
        <v>3955.6</v>
      </c>
      <c r="U100" s="46">
        <v>3962.8</v>
      </c>
      <c r="V100" s="46"/>
      <c r="W100" s="46"/>
      <c r="X100" s="46">
        <v>4007.4</v>
      </c>
      <c r="Y100" s="46"/>
      <c r="Z100" s="46">
        <f t="shared" si="48"/>
        <v>-51.800000000000182</v>
      </c>
      <c r="AA100" s="39">
        <f t="shared" si="49"/>
        <v>-1.3095358479118259E-2</v>
      </c>
      <c r="AB100" s="73">
        <v>3955.55</v>
      </c>
      <c r="AC100" s="73">
        <v>3955.55</v>
      </c>
      <c r="AD100" s="73"/>
      <c r="AE100" s="39"/>
      <c r="AF100" s="74"/>
      <c r="AG100" s="74"/>
      <c r="AH100" s="75"/>
      <c r="AI100" s="75">
        <f t="shared" si="76"/>
        <v>0</v>
      </c>
      <c r="AJ100" s="32"/>
      <c r="AK100" s="32"/>
      <c r="AL100" s="32"/>
      <c r="AM100" s="33"/>
      <c r="AN100" s="33"/>
      <c r="AO100" s="33"/>
      <c r="AP100" s="34">
        <f t="shared" si="77"/>
        <v>0</v>
      </c>
      <c r="AQ100" s="32">
        <f t="shared" si="78"/>
        <v>0</v>
      </c>
      <c r="AR100" s="32">
        <f t="shared" si="79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0"/>
        <v>3955.55</v>
      </c>
      <c r="BC100" s="45">
        <f t="shared" si="51"/>
        <v>4007.4</v>
      </c>
      <c r="BD100" s="45"/>
      <c r="BE100" s="45">
        <f t="shared" si="80"/>
        <v>-51.849999999999909</v>
      </c>
      <c r="BF100" s="39">
        <f t="shared" si="81"/>
        <v>-1.3108164477759074E-2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66</v>
      </c>
      <c r="F101" s="36">
        <v>46260</v>
      </c>
      <c r="G101" s="24" t="s">
        <v>59</v>
      </c>
      <c r="H101" s="24">
        <v>58</v>
      </c>
      <c r="I101" s="24">
        <v>1</v>
      </c>
      <c r="J101" s="24" t="s">
        <v>66</v>
      </c>
      <c r="K101" s="25">
        <v>162003219</v>
      </c>
      <c r="L101" s="26">
        <v>46260</v>
      </c>
      <c r="M101" s="38">
        <v>46262</v>
      </c>
      <c r="N101" s="52">
        <v>16629</v>
      </c>
      <c r="O101" s="27"/>
      <c r="P101" s="27"/>
      <c r="Q101" s="27"/>
      <c r="R101" s="46">
        <v>5168.46</v>
      </c>
      <c r="S101" s="46">
        <v>1195.2600000000002</v>
      </c>
      <c r="T101" s="46">
        <f t="shared" si="75"/>
        <v>3973.2</v>
      </c>
      <c r="U101" s="46">
        <v>3973.2</v>
      </c>
      <c r="V101" s="46"/>
      <c r="W101" s="46"/>
      <c r="X101" s="46">
        <v>3911.6</v>
      </c>
      <c r="Y101" s="46"/>
      <c r="Z101" s="46">
        <f t="shared" si="48"/>
        <v>61.599999999999909</v>
      </c>
      <c r="AA101" s="39">
        <f t="shared" si="49"/>
        <v>1.5503875968992225E-2</v>
      </c>
      <c r="AB101" s="73">
        <v>3973.16</v>
      </c>
      <c r="AC101" s="73">
        <v>3973.16</v>
      </c>
      <c r="AD101" s="73"/>
      <c r="AE101" s="39"/>
      <c r="AF101" s="74"/>
      <c r="AG101" s="74"/>
      <c r="AH101" s="75"/>
      <c r="AI101" s="75">
        <f t="shared" si="76"/>
        <v>0</v>
      </c>
      <c r="AJ101" s="32"/>
      <c r="AK101" s="32"/>
      <c r="AL101" s="32"/>
      <c r="AM101" s="33"/>
      <c r="AN101" s="33"/>
      <c r="AO101" s="33"/>
      <c r="AP101" s="34">
        <f t="shared" si="77"/>
        <v>0</v>
      </c>
      <c r="AQ101" s="32">
        <f t="shared" si="78"/>
        <v>0</v>
      </c>
      <c r="AR101" s="32">
        <f t="shared" si="79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0"/>
        <v>3973.16</v>
      </c>
      <c r="BC101" s="45">
        <f t="shared" si="51"/>
        <v>3911.6</v>
      </c>
      <c r="BD101" s="45"/>
      <c r="BE101" s="45">
        <f t="shared" si="80"/>
        <v>61.559999999999945</v>
      </c>
      <c r="BF101" s="39">
        <f t="shared" si="81"/>
        <v>1.5493964501807112E-2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46260</v>
      </c>
      <c r="G102" s="24" t="s">
        <v>59</v>
      </c>
      <c r="H102" s="24">
        <v>58</v>
      </c>
      <c r="I102" s="24">
        <v>2</v>
      </c>
      <c r="J102" s="24" t="s">
        <v>67</v>
      </c>
      <c r="K102" s="25">
        <v>162011731</v>
      </c>
      <c r="L102" s="26">
        <v>46260</v>
      </c>
      <c r="M102" s="38">
        <v>46263</v>
      </c>
      <c r="N102" s="52">
        <v>16634</v>
      </c>
      <c r="O102" s="27"/>
      <c r="P102" s="27"/>
      <c r="Q102" s="27"/>
      <c r="R102" s="46">
        <v>4900.8</v>
      </c>
      <c r="S102" s="46">
        <v>1179.4000000000001</v>
      </c>
      <c r="T102" s="46">
        <f t="shared" si="75"/>
        <v>3721.4</v>
      </c>
      <c r="U102" s="46">
        <v>3915</v>
      </c>
      <c r="V102" s="46"/>
      <c r="W102" s="46"/>
      <c r="X102" s="46">
        <v>3693.2</v>
      </c>
      <c r="Y102" s="46"/>
      <c r="Z102" s="46">
        <f t="shared" ref="Z102:Z110" si="82">+T102-X102</f>
        <v>28.200000000000273</v>
      </c>
      <c r="AA102" s="39">
        <f t="shared" ref="AA102:AA111" si="83">Z102/T102</f>
        <v>7.5777933035954944E-3</v>
      </c>
      <c r="AB102" s="73">
        <v>3736.33</v>
      </c>
      <c r="AC102" s="73">
        <v>3721.43</v>
      </c>
      <c r="AD102" s="73"/>
      <c r="AE102" s="39"/>
      <c r="AF102" s="74"/>
      <c r="AG102" s="74"/>
      <c r="AH102" s="75"/>
      <c r="AI102" s="75">
        <f t="shared" si="76"/>
        <v>0</v>
      </c>
      <c r="AJ102" s="32"/>
      <c r="AK102" s="32"/>
      <c r="AL102" s="32"/>
      <c r="AM102" s="33"/>
      <c r="AN102" s="33"/>
      <c r="AO102" s="33"/>
      <c r="AP102" s="34">
        <f t="shared" si="77"/>
        <v>0</v>
      </c>
      <c r="AQ102" s="32">
        <f t="shared" si="78"/>
        <v>0</v>
      </c>
      <c r="AR102" s="32">
        <f t="shared" si="79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10" si="84">IF(AND(AB102="",AC102=""),T102,IF(AC102="",AB102,AC102))</f>
        <v>3721.43</v>
      </c>
      <c r="BC102" s="45">
        <f t="shared" ref="BC102:BC110" si="85">+X102</f>
        <v>3693.2</v>
      </c>
      <c r="BD102" s="45"/>
      <c r="BE102" s="45">
        <f t="shared" si="80"/>
        <v>28.230000000000018</v>
      </c>
      <c r="BF102" s="39">
        <f t="shared" si="81"/>
        <v>7.5857936330926603E-3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63</v>
      </c>
      <c r="F103" s="36">
        <v>46261</v>
      </c>
      <c r="G103" s="24" t="s">
        <v>59</v>
      </c>
      <c r="H103" s="24">
        <v>59</v>
      </c>
      <c r="I103" s="24">
        <v>12</v>
      </c>
      <c r="J103" s="24" t="s">
        <v>63</v>
      </c>
      <c r="K103" s="25">
        <v>162006475</v>
      </c>
      <c r="L103" s="26">
        <v>46261</v>
      </c>
      <c r="M103" s="38">
        <v>46262</v>
      </c>
      <c r="N103" s="52">
        <v>16633</v>
      </c>
      <c r="O103" s="27"/>
      <c r="P103" s="27"/>
      <c r="Q103" s="27"/>
      <c r="R103" s="46">
        <v>4262.7700000000004</v>
      </c>
      <c r="S103" s="46">
        <v>977.67000000000053</v>
      </c>
      <c r="T103" s="46">
        <f t="shared" ref="T103:T108" si="86">+R103-S103</f>
        <v>3285.1</v>
      </c>
      <c r="U103" s="46">
        <v>3289</v>
      </c>
      <c r="V103" s="46"/>
      <c r="W103" s="46"/>
      <c r="X103" s="46">
        <v>3300.2</v>
      </c>
      <c r="Y103" s="46"/>
      <c r="Z103" s="46">
        <f t="shared" si="82"/>
        <v>-15.099999999999909</v>
      </c>
      <c r="AA103" s="39">
        <f t="shared" si="83"/>
        <v>-4.5965115217192504E-3</v>
      </c>
      <c r="AB103" s="73"/>
      <c r="AC103" s="73">
        <v>3285.1</v>
      </c>
      <c r="AD103" s="73"/>
      <c r="AE103" s="39"/>
      <c r="AF103" s="74"/>
      <c r="AG103" s="74"/>
      <c r="AH103" s="75"/>
      <c r="AI103" s="75">
        <f t="shared" ref="AI103:AI108" si="87">+AG103+AH103</f>
        <v>0</v>
      </c>
      <c r="AJ103" s="32"/>
      <c r="AK103" s="32"/>
      <c r="AL103" s="32"/>
      <c r="AM103" s="33"/>
      <c r="AN103" s="33"/>
      <c r="AO103" s="33"/>
      <c r="AP103" s="34">
        <f t="shared" ref="AP103:AP108" si="88">ROUNDUP((AO103-AM103+(AO103&lt;AM103))*24,0)</f>
        <v>0</v>
      </c>
      <c r="AQ103" s="32">
        <f t="shared" ref="AQ103:AQ108" si="89">IF(AP103&gt;5,(AP103-5),0)</f>
        <v>0</v>
      </c>
      <c r="AR103" s="32">
        <f t="shared" ref="AR103:AR108" si="90">+AQ103*8850</f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84"/>
        <v>3285.1</v>
      </c>
      <c r="BC103" s="45">
        <f t="shared" si="85"/>
        <v>3300.2</v>
      </c>
      <c r="BD103" s="45"/>
      <c r="BE103" s="45">
        <f t="shared" ref="BE103:BE108" si="91">+BB103-BC103</f>
        <v>-15.099999999999909</v>
      </c>
      <c r="BF103" s="39">
        <f t="shared" ref="BF103:BF108" si="92">+BE103/BB103</f>
        <v>-4.5965115217192504E-3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65</v>
      </c>
      <c r="F104" s="36">
        <v>46261</v>
      </c>
      <c r="G104" s="24" t="s">
        <v>59</v>
      </c>
      <c r="H104" s="24">
        <v>58</v>
      </c>
      <c r="I104" s="24">
        <v>2</v>
      </c>
      <c r="J104" s="24" t="s">
        <v>67</v>
      </c>
      <c r="K104" s="25">
        <v>162011733</v>
      </c>
      <c r="L104" s="26">
        <v>46261</v>
      </c>
      <c r="M104" s="38">
        <v>46263</v>
      </c>
      <c r="N104" s="52">
        <v>16636</v>
      </c>
      <c r="O104" s="27"/>
      <c r="P104" s="27"/>
      <c r="Q104" s="27"/>
      <c r="R104" s="46">
        <v>4922.2</v>
      </c>
      <c r="S104" s="46">
        <v>1153.5999999999999</v>
      </c>
      <c r="T104" s="46">
        <f t="shared" si="86"/>
        <v>3768.6</v>
      </c>
      <c r="U104" s="46">
        <v>3932.6</v>
      </c>
      <c r="V104" s="46"/>
      <c r="W104" s="46"/>
      <c r="X104" s="46">
        <v>3810.8</v>
      </c>
      <c r="Y104" s="46"/>
      <c r="Z104" s="46">
        <f t="shared" si="82"/>
        <v>-42.200000000000273</v>
      </c>
      <c r="AA104" s="39">
        <f t="shared" si="83"/>
        <v>-1.1197792283606718E-2</v>
      </c>
      <c r="AB104" s="73">
        <v>3788.6</v>
      </c>
      <c r="AC104" s="73">
        <v>3768.6</v>
      </c>
      <c r="AD104" s="73"/>
      <c r="AE104" s="39"/>
      <c r="AF104" s="74"/>
      <c r="AG104" s="74"/>
      <c r="AH104" s="75"/>
      <c r="AI104" s="75">
        <f t="shared" si="87"/>
        <v>0</v>
      </c>
      <c r="AJ104" s="32"/>
      <c r="AK104" s="32"/>
      <c r="AL104" s="32"/>
      <c r="AM104" s="33"/>
      <c r="AN104" s="33"/>
      <c r="AO104" s="33"/>
      <c r="AP104" s="34">
        <f t="shared" si="88"/>
        <v>0</v>
      </c>
      <c r="AQ104" s="32">
        <f t="shared" si="89"/>
        <v>0</v>
      </c>
      <c r="AR104" s="32">
        <f t="shared" si="9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84"/>
        <v>3768.6</v>
      </c>
      <c r="BC104" s="45">
        <f t="shared" si="85"/>
        <v>3810.8</v>
      </c>
      <c r="BD104" s="45"/>
      <c r="BE104" s="45">
        <f t="shared" si="91"/>
        <v>-42.200000000000273</v>
      </c>
      <c r="BF104" s="39">
        <f t="shared" si="92"/>
        <v>-1.1197792283606718E-2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66</v>
      </c>
      <c r="F105" s="36">
        <v>46261</v>
      </c>
      <c r="G105" s="24" t="s">
        <v>59</v>
      </c>
      <c r="H105" s="24">
        <v>58</v>
      </c>
      <c r="I105" s="24">
        <v>1</v>
      </c>
      <c r="J105" s="24" t="s">
        <v>66</v>
      </c>
      <c r="K105" s="25">
        <v>162003223</v>
      </c>
      <c r="L105" s="26">
        <v>46261</v>
      </c>
      <c r="M105" s="38">
        <v>46264</v>
      </c>
      <c r="N105" s="52">
        <v>16637</v>
      </c>
      <c r="O105" s="27"/>
      <c r="P105" s="27"/>
      <c r="Q105" s="27"/>
      <c r="R105" s="46">
        <v>5170.7</v>
      </c>
      <c r="S105" s="46">
        <v>1196.6999999999998</v>
      </c>
      <c r="T105" s="46">
        <f t="shared" si="86"/>
        <v>3974</v>
      </c>
      <c r="U105" s="46">
        <v>3974</v>
      </c>
      <c r="V105" s="46"/>
      <c r="W105" s="46"/>
      <c r="X105" s="46">
        <v>4100.08</v>
      </c>
      <c r="Y105" s="46"/>
      <c r="Z105" s="46">
        <f t="shared" si="82"/>
        <v>-126.07999999999993</v>
      </c>
      <c r="AA105" s="39">
        <f t="shared" si="83"/>
        <v>-3.1726220432813271E-2</v>
      </c>
      <c r="AB105" s="73">
        <v>3973.98</v>
      </c>
      <c r="AC105" s="73">
        <v>3973.98</v>
      </c>
      <c r="AD105" s="73"/>
      <c r="AE105" s="39"/>
      <c r="AF105" s="74"/>
      <c r="AG105" s="74"/>
      <c r="AH105" s="75"/>
      <c r="AI105" s="75">
        <f t="shared" si="87"/>
        <v>0</v>
      </c>
      <c r="AJ105" s="32"/>
      <c r="AK105" s="32"/>
      <c r="AL105" s="32"/>
      <c r="AM105" s="33"/>
      <c r="AN105" s="33"/>
      <c r="AO105" s="33"/>
      <c r="AP105" s="34">
        <f t="shared" si="88"/>
        <v>0</v>
      </c>
      <c r="AQ105" s="32">
        <f t="shared" si="89"/>
        <v>0</v>
      </c>
      <c r="AR105" s="32">
        <f t="shared" si="9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84"/>
        <v>3973.98</v>
      </c>
      <c r="BC105" s="45">
        <f t="shared" si="85"/>
        <v>4100.08</v>
      </c>
      <c r="BD105" s="45"/>
      <c r="BE105" s="45">
        <f t="shared" si="91"/>
        <v>-126.09999999999991</v>
      </c>
      <c r="BF105" s="39">
        <f t="shared" si="92"/>
        <v>-3.1731412840527606E-2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66</v>
      </c>
      <c r="F106" s="36">
        <v>46262</v>
      </c>
      <c r="G106" s="24" t="s">
        <v>59</v>
      </c>
      <c r="H106" s="24">
        <v>57</v>
      </c>
      <c r="I106" s="24">
        <v>2</v>
      </c>
      <c r="J106" s="24" t="s">
        <v>66</v>
      </c>
      <c r="K106" s="25">
        <v>162003225</v>
      </c>
      <c r="L106" s="26">
        <v>46262</v>
      </c>
      <c r="M106" s="38">
        <v>46265</v>
      </c>
      <c r="N106" s="52">
        <v>16641</v>
      </c>
      <c r="O106" s="27"/>
      <c r="P106" s="27"/>
      <c r="Q106" s="27"/>
      <c r="R106" s="46">
        <v>4989.8</v>
      </c>
      <c r="S106" s="46">
        <v>1147.5</v>
      </c>
      <c r="T106" s="46">
        <f t="shared" si="86"/>
        <v>3842.3</v>
      </c>
      <c r="U106" s="46">
        <v>3842.4</v>
      </c>
      <c r="V106" s="46"/>
      <c r="W106" s="46"/>
      <c r="X106" s="46">
        <v>3848.2</v>
      </c>
      <c r="Y106" s="46"/>
      <c r="Z106" s="46">
        <f t="shared" si="82"/>
        <v>-5.8999999999996362</v>
      </c>
      <c r="AA106" s="39">
        <f t="shared" si="83"/>
        <v>-1.5355386096868116E-3</v>
      </c>
      <c r="AB106" s="73">
        <v>3842.28</v>
      </c>
      <c r="AC106" s="73">
        <v>3842.28</v>
      </c>
      <c r="AD106" s="73"/>
      <c r="AE106" s="39"/>
      <c r="AF106" s="74"/>
      <c r="AG106" s="74"/>
      <c r="AH106" s="75"/>
      <c r="AI106" s="75">
        <f t="shared" si="87"/>
        <v>0</v>
      </c>
      <c r="AJ106" s="32"/>
      <c r="AK106" s="32"/>
      <c r="AL106" s="32"/>
      <c r="AM106" s="33"/>
      <c r="AN106" s="33"/>
      <c r="AO106" s="33"/>
      <c r="AP106" s="34">
        <f t="shared" si="88"/>
        <v>0</v>
      </c>
      <c r="AQ106" s="32">
        <f t="shared" si="89"/>
        <v>0</v>
      </c>
      <c r="AR106" s="32">
        <f t="shared" si="9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84"/>
        <v>3842.28</v>
      </c>
      <c r="BC106" s="45">
        <f t="shared" si="85"/>
        <v>3848.2</v>
      </c>
      <c r="BD106" s="45"/>
      <c r="BE106" s="45">
        <f t="shared" si="91"/>
        <v>-5.919999999999618</v>
      </c>
      <c r="BF106" s="39">
        <f t="shared" si="92"/>
        <v>-1.540751845258445E-3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46262</v>
      </c>
      <c r="G107" s="24" t="s">
        <v>59</v>
      </c>
      <c r="H107" s="24">
        <v>58</v>
      </c>
      <c r="I107" s="24">
        <v>4</v>
      </c>
      <c r="J107" s="24" t="s">
        <v>67</v>
      </c>
      <c r="K107" s="25">
        <v>162011736</v>
      </c>
      <c r="L107" s="26">
        <v>46263</v>
      </c>
      <c r="M107" s="38">
        <v>46265</v>
      </c>
      <c r="N107" s="52">
        <v>16642</v>
      </c>
      <c r="O107" s="27"/>
      <c r="P107" s="27"/>
      <c r="Q107" s="27"/>
      <c r="R107" s="46">
        <v>4842</v>
      </c>
      <c r="S107" s="46">
        <v>1125.5</v>
      </c>
      <c r="T107" s="46">
        <f t="shared" si="86"/>
        <v>3716.5</v>
      </c>
      <c r="U107" s="46">
        <v>3801.8</v>
      </c>
      <c r="V107" s="46"/>
      <c r="W107" s="46"/>
      <c r="X107" s="46">
        <v>3856.4</v>
      </c>
      <c r="Y107" s="46"/>
      <c r="Z107" s="46">
        <f t="shared" si="82"/>
        <v>-139.90000000000009</v>
      </c>
      <c r="AA107" s="39">
        <f t="shared" si="83"/>
        <v>-3.7642943629759208E-2</v>
      </c>
      <c r="AB107" s="73">
        <v>3738.64</v>
      </c>
      <c r="AC107" s="73">
        <v>3716.48</v>
      </c>
      <c r="AD107" s="73"/>
      <c r="AE107" s="39"/>
      <c r="AF107" s="74"/>
      <c r="AG107" s="74"/>
      <c r="AH107" s="75"/>
      <c r="AI107" s="75">
        <f t="shared" si="87"/>
        <v>0</v>
      </c>
      <c r="AJ107" s="32"/>
      <c r="AK107" s="32"/>
      <c r="AL107" s="32"/>
      <c r="AM107" s="33"/>
      <c r="AN107" s="33"/>
      <c r="AO107" s="33"/>
      <c r="AP107" s="34">
        <f t="shared" si="88"/>
        <v>0</v>
      </c>
      <c r="AQ107" s="32">
        <f t="shared" si="89"/>
        <v>0</v>
      </c>
      <c r="AR107" s="32">
        <f t="shared" si="9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84"/>
        <v>3716.48</v>
      </c>
      <c r="BC107" s="45">
        <f t="shared" si="85"/>
        <v>3856.4</v>
      </c>
      <c r="BD107" s="45"/>
      <c r="BE107" s="45">
        <f t="shared" si="91"/>
        <v>-139.92000000000007</v>
      </c>
      <c r="BF107" s="39">
        <f t="shared" si="92"/>
        <v>-3.764852763905633E-2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66</v>
      </c>
      <c r="F108" s="36">
        <v>46262</v>
      </c>
      <c r="G108" s="24" t="s">
        <v>59</v>
      </c>
      <c r="H108" s="24">
        <v>59</v>
      </c>
      <c r="I108" s="24">
        <v>2</v>
      </c>
      <c r="J108" s="24" t="s">
        <v>66</v>
      </c>
      <c r="K108" s="25">
        <v>162003226</v>
      </c>
      <c r="L108" s="26">
        <v>46263</v>
      </c>
      <c r="M108" s="38">
        <v>46264</v>
      </c>
      <c r="N108" s="52">
        <v>16638</v>
      </c>
      <c r="O108" s="27"/>
      <c r="P108" s="27"/>
      <c r="Q108" s="27"/>
      <c r="R108" s="46">
        <v>5168.9399999999996</v>
      </c>
      <c r="S108" s="46">
        <v>1193.2399999999998</v>
      </c>
      <c r="T108" s="46">
        <f t="shared" si="86"/>
        <v>3975.7</v>
      </c>
      <c r="U108" s="46">
        <v>3975.8</v>
      </c>
      <c r="V108" s="46"/>
      <c r="W108" s="46"/>
      <c r="X108" s="46">
        <v>3912.4</v>
      </c>
      <c r="Y108" s="46"/>
      <c r="Z108" s="46">
        <f t="shared" si="82"/>
        <v>63.299999999999727</v>
      </c>
      <c r="AA108" s="39">
        <f t="shared" si="83"/>
        <v>1.5921724476192802E-2</v>
      </c>
      <c r="AB108" s="73">
        <v>3975.7</v>
      </c>
      <c r="AC108" s="73">
        <v>3975.7</v>
      </c>
      <c r="AD108" s="73"/>
      <c r="AE108" s="39"/>
      <c r="AF108" s="74"/>
      <c r="AG108" s="74"/>
      <c r="AH108" s="75"/>
      <c r="AI108" s="75">
        <f t="shared" si="87"/>
        <v>0</v>
      </c>
      <c r="AJ108" s="32"/>
      <c r="AK108" s="32"/>
      <c r="AL108" s="32"/>
      <c r="AM108" s="33"/>
      <c r="AN108" s="33"/>
      <c r="AO108" s="33"/>
      <c r="AP108" s="34">
        <f t="shared" si="88"/>
        <v>0</v>
      </c>
      <c r="AQ108" s="32">
        <f t="shared" si="89"/>
        <v>0</v>
      </c>
      <c r="AR108" s="32">
        <f t="shared" si="9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84"/>
        <v>3975.7</v>
      </c>
      <c r="BC108" s="45">
        <f t="shared" si="85"/>
        <v>3912.4</v>
      </c>
      <c r="BD108" s="45"/>
      <c r="BE108" s="45">
        <f t="shared" si="91"/>
        <v>63.299999999999727</v>
      </c>
      <c r="BF108" s="39">
        <f t="shared" si="92"/>
        <v>1.5921724476192802E-2</v>
      </c>
    </row>
    <row r="109" spans="1:58" s="20" customFormat="1" ht="12.75" x14ac:dyDescent="0.2">
      <c r="A109" s="21" t="str">
        <f>IF(ISBLANK(F109),"",COUNTA($F$6:F109))</f>
        <v/>
      </c>
      <c r="B109" s="37" t="s">
        <v>60</v>
      </c>
      <c r="C109" s="37" t="s">
        <v>61</v>
      </c>
      <c r="D109" s="22"/>
      <c r="E109" s="23"/>
      <c r="F109" s="36"/>
      <c r="G109" s="24"/>
      <c r="H109" s="24"/>
      <c r="I109" s="24"/>
      <c r="J109" s="24"/>
      <c r="K109" s="25"/>
      <c r="L109" s="26"/>
      <c r="M109" s="38"/>
      <c r="N109" s="52"/>
      <c r="O109" s="27"/>
      <c r="P109" s="27"/>
      <c r="Q109" s="27"/>
      <c r="R109" s="28"/>
      <c r="S109" s="28"/>
      <c r="T109" s="46">
        <f t="shared" si="68"/>
        <v>0</v>
      </c>
      <c r="U109" s="28"/>
      <c r="V109" s="28"/>
      <c r="W109" s="28"/>
      <c r="X109" s="28"/>
      <c r="Y109" s="28"/>
      <c r="Z109" s="28">
        <f t="shared" si="82"/>
        <v>0</v>
      </c>
      <c r="AA109" s="29" t="e">
        <f t="shared" si="83"/>
        <v>#DIV/0!</v>
      </c>
      <c r="AB109" s="40"/>
      <c r="AC109" s="40"/>
      <c r="AD109" s="40"/>
      <c r="AE109" s="29"/>
      <c r="AF109" s="30"/>
      <c r="AG109" s="30"/>
      <c r="AH109" s="31"/>
      <c r="AI109" s="31">
        <f t="shared" si="69"/>
        <v>0</v>
      </c>
      <c r="AJ109" s="32"/>
      <c r="AK109" s="32"/>
      <c r="AL109" s="32"/>
      <c r="AM109" s="33"/>
      <c r="AN109" s="33"/>
      <c r="AO109" s="33"/>
      <c r="AP109" s="34">
        <f t="shared" si="70"/>
        <v>0</v>
      </c>
      <c r="AQ109" s="32">
        <f t="shared" si="71"/>
        <v>0</v>
      </c>
      <c r="AR109" s="32">
        <f t="shared" si="72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84"/>
        <v>0</v>
      </c>
      <c r="BC109" s="45">
        <f t="shared" si="85"/>
        <v>0</v>
      </c>
      <c r="BD109" s="45"/>
      <c r="BE109" s="45">
        <f t="shared" si="73"/>
        <v>0</v>
      </c>
      <c r="BF109" s="39" t="e">
        <f t="shared" si="74"/>
        <v>#DIV/0!</v>
      </c>
    </row>
    <row r="110" spans="1:58" s="20" customFormat="1" ht="12.75" x14ac:dyDescent="0.2">
      <c r="A110" s="21" t="str">
        <f>IF(ISBLANK(F110),"",COUNTA($F$6:F110))</f>
        <v/>
      </c>
      <c r="B110" s="37" t="s">
        <v>60</v>
      </c>
      <c r="C110" s="37" t="s">
        <v>61</v>
      </c>
      <c r="D110" s="22"/>
      <c r="E110" s="23"/>
      <c r="F110" s="36"/>
      <c r="G110" s="24"/>
      <c r="H110" s="24"/>
      <c r="I110" s="24"/>
      <c r="J110" s="24"/>
      <c r="K110" s="25"/>
      <c r="L110" s="26"/>
      <c r="M110" s="38"/>
      <c r="N110" s="52"/>
      <c r="O110" s="27"/>
      <c r="P110" s="27"/>
      <c r="Q110" s="27"/>
      <c r="R110" s="28"/>
      <c r="S110" s="28"/>
      <c r="T110" s="46">
        <f t="shared" si="0"/>
        <v>0</v>
      </c>
      <c r="U110" s="28"/>
      <c r="V110" s="28"/>
      <c r="W110" s="28"/>
      <c r="X110" s="28"/>
      <c r="Y110" s="28"/>
      <c r="Z110" s="28">
        <f t="shared" si="82"/>
        <v>0</v>
      </c>
      <c r="AA110" s="29" t="e">
        <f t="shared" si="83"/>
        <v>#DIV/0!</v>
      </c>
      <c r="AB110" s="40"/>
      <c r="AC110" s="40"/>
      <c r="AD110" s="40"/>
      <c r="AE110" s="29"/>
      <c r="AF110" s="30"/>
      <c r="AG110" s="30"/>
      <c r="AH110" s="31"/>
      <c r="AI110" s="31">
        <f t="shared" si="3"/>
        <v>0</v>
      </c>
      <c r="AJ110" s="32"/>
      <c r="AK110" s="32"/>
      <c r="AL110" s="32"/>
      <c r="AM110" s="33"/>
      <c r="AN110" s="33"/>
      <c r="AO110" s="33"/>
      <c r="AP110" s="34">
        <f t="shared" si="4"/>
        <v>0</v>
      </c>
      <c r="AQ110" s="32">
        <f t="shared" si="5"/>
        <v>0</v>
      </c>
      <c r="AR110" s="32">
        <f t="shared" si="6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84"/>
        <v>0</v>
      </c>
      <c r="BC110" s="45">
        <f t="shared" si="85"/>
        <v>0</v>
      </c>
      <c r="BD110" s="45"/>
      <c r="BE110" s="45">
        <f t="shared" si="66"/>
        <v>0</v>
      </c>
      <c r="BF110" s="39" t="e">
        <f t="shared" si="67"/>
        <v>#DIV/0!</v>
      </c>
    </row>
    <row r="111" spans="1:58" ht="15.75" thickBot="1" x14ac:dyDescent="0.3">
      <c r="A111" s="9">
        <f>+COUNT(A6:A110)</f>
        <v>103</v>
      </c>
      <c r="B111" s="10">
        <f>+COUNTIF(X6:X110,"&gt;0")</f>
        <v>103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1"/>
      <c r="M111" s="10"/>
      <c r="N111" s="10"/>
      <c r="O111" s="10"/>
      <c r="P111" s="10"/>
      <c r="Q111" s="10"/>
      <c r="R111" s="12">
        <f t="shared" ref="R111:Y111" si="93">SUM(R6:R110)</f>
        <v>517248.86000000004</v>
      </c>
      <c r="S111" s="12">
        <f t="shared" si="93"/>
        <v>120645.85999999999</v>
      </c>
      <c r="T111" s="12">
        <f t="shared" si="93"/>
        <v>396603.00000000006</v>
      </c>
      <c r="U111" s="12">
        <f t="shared" si="93"/>
        <v>399041.50000000017</v>
      </c>
      <c r="V111" s="12">
        <f t="shared" si="93"/>
        <v>0</v>
      </c>
      <c r="W111" s="12">
        <f t="shared" si="93"/>
        <v>0</v>
      </c>
      <c r="X111" s="12">
        <f t="shared" si="93"/>
        <v>395271.25000000012</v>
      </c>
      <c r="Y111" s="12">
        <f t="shared" si="93"/>
        <v>0</v>
      </c>
      <c r="Z111" s="12">
        <f>T111-X111</f>
        <v>1331.7499999999418</v>
      </c>
      <c r="AA111" s="13">
        <f t="shared" si="83"/>
        <v>3.3578918969345709E-3</v>
      </c>
      <c r="AB111" s="41"/>
      <c r="AC111" s="41"/>
      <c r="AD111" s="41"/>
      <c r="AE111" s="13"/>
      <c r="AF111" s="12">
        <f>SUM(AF6:AF110)</f>
        <v>0</v>
      </c>
      <c r="AG111" s="12">
        <f>SUM(AG6:AG110)</f>
        <v>0</v>
      </c>
      <c r="AH111" s="12">
        <f>SUM(AH6:AH110)</f>
        <v>0</v>
      </c>
      <c r="AI111" s="12">
        <f>SUM(AI6:AI110)</f>
        <v>0</v>
      </c>
      <c r="AJ111" s="14"/>
      <c r="AK111" s="14"/>
      <c r="AL111" s="12"/>
      <c r="AM111" s="15"/>
      <c r="AN111" s="16"/>
      <c r="AO111" s="16"/>
      <c r="AP111" s="17"/>
      <c r="AQ111" s="10">
        <f>SUM(AQ6:AQ110)</f>
        <v>0</v>
      </c>
      <c r="AR111" s="18">
        <f>SUM(AR6:AR110)</f>
        <v>0</v>
      </c>
      <c r="AS111" s="10">
        <f>SUM(AS6:AS110)</f>
        <v>0</v>
      </c>
      <c r="AT111" s="10">
        <f>SUM(AT6:AT110)</f>
        <v>0</v>
      </c>
      <c r="AU111" s="10">
        <f>SUM(AU6:AU110)</f>
        <v>0</v>
      </c>
      <c r="AV111" s="10">
        <f>+SUM(AV6:AV110)</f>
        <v>0</v>
      </c>
      <c r="AW111" s="10">
        <f>SUM(AW6:AW110)</f>
        <v>0</v>
      </c>
      <c r="AX111" s="10">
        <f>SUM(AX6:AX110)</f>
        <v>0</v>
      </c>
      <c r="AY111" s="10">
        <f>SUM(AY6:AY110)</f>
        <v>0</v>
      </c>
      <c r="AZ111" s="19"/>
      <c r="BB111" s="42">
        <f>SUM(BB6:BB110)</f>
        <v>397355.63999999972</v>
      </c>
      <c r="BC111" s="42">
        <f>SUM(BC6:BC110)</f>
        <v>395271.25000000012</v>
      </c>
      <c r="BD111" s="42">
        <f>SUM(BD6:BD110)</f>
        <v>0</v>
      </c>
      <c r="BE111" s="42">
        <f>SUM(BE6:BE110)</f>
        <v>2084.3899999999962</v>
      </c>
      <c r="BF111" s="43">
        <f t="shared" si="67"/>
        <v>5.2456534906614076E-3</v>
      </c>
    </row>
  </sheetData>
  <conditionalFormatting sqref="K6:K12">
    <cfRule type="duplicateValues" dxfId="144" priority="1077"/>
  </conditionalFormatting>
  <conditionalFormatting sqref="K6:K12">
    <cfRule type="duplicateValues" dxfId="143" priority="1078"/>
    <cfRule type="duplicateValues" dxfId="142" priority="1079"/>
  </conditionalFormatting>
  <conditionalFormatting sqref="K110">
    <cfRule type="duplicateValues" dxfId="141" priority="1080"/>
  </conditionalFormatting>
  <conditionalFormatting sqref="K110">
    <cfRule type="duplicateValues" dxfId="140" priority="1081"/>
    <cfRule type="duplicateValues" dxfId="139" priority="1082"/>
  </conditionalFormatting>
  <conditionalFormatting sqref="K110 K5">
    <cfRule type="duplicateValues" dxfId="138" priority="1083"/>
  </conditionalFormatting>
  <conditionalFormatting sqref="K110:K111 K5">
    <cfRule type="duplicateValues" dxfId="137" priority="1085"/>
  </conditionalFormatting>
  <conditionalFormatting sqref="K110:K111">
    <cfRule type="duplicateValues" dxfId="136" priority="1087"/>
  </conditionalFormatting>
  <conditionalFormatting sqref="K13:K14 K88">
    <cfRule type="duplicateValues" dxfId="135" priority="1088"/>
  </conditionalFormatting>
  <conditionalFormatting sqref="K13:K14 K88">
    <cfRule type="duplicateValues" dxfId="134" priority="1090"/>
    <cfRule type="duplicateValues" dxfId="133" priority="1091"/>
  </conditionalFormatting>
  <conditionalFormatting sqref="K110:K111 K13:K14 K5 K88">
    <cfRule type="duplicateValues" dxfId="132" priority="1094"/>
  </conditionalFormatting>
  <conditionalFormatting sqref="K110:K111 K88 K5:K14">
    <cfRule type="duplicateValues" dxfId="131" priority="1097"/>
  </conditionalFormatting>
  <conditionalFormatting sqref="K36 K15:K26">
    <cfRule type="duplicateValues" dxfId="130" priority="1099"/>
  </conditionalFormatting>
  <conditionalFormatting sqref="K36 K15:K26">
    <cfRule type="duplicateValues" dxfId="129" priority="1101"/>
    <cfRule type="duplicateValues" dxfId="128" priority="1102"/>
  </conditionalFormatting>
  <conditionalFormatting sqref="K15:K26">
    <cfRule type="duplicateValues" dxfId="127" priority="1105"/>
  </conditionalFormatting>
  <conditionalFormatting sqref="K27:K35">
    <cfRule type="duplicateValues" dxfId="126" priority="1106"/>
  </conditionalFormatting>
  <conditionalFormatting sqref="K27:K35">
    <cfRule type="duplicateValues" dxfId="125" priority="1107"/>
    <cfRule type="duplicateValues" dxfId="124" priority="1108"/>
  </conditionalFormatting>
  <conditionalFormatting sqref="K110:K111 K5:K36 K88">
    <cfRule type="duplicateValues" dxfId="123" priority="1109"/>
  </conditionalFormatting>
  <conditionalFormatting sqref="K37:K54 K61:K64">
    <cfRule type="duplicateValues" dxfId="122" priority="99"/>
  </conditionalFormatting>
  <conditionalFormatting sqref="K37:K54 K61:K64">
    <cfRule type="duplicateValues" dxfId="121" priority="100"/>
    <cfRule type="duplicateValues" dxfId="120" priority="101"/>
  </conditionalFormatting>
  <conditionalFormatting sqref="K37:K54">
    <cfRule type="duplicateValues" dxfId="119" priority="102"/>
  </conditionalFormatting>
  <conditionalFormatting sqref="K37:K54">
    <cfRule type="duplicateValues" dxfId="118" priority="103"/>
  </conditionalFormatting>
  <conditionalFormatting sqref="K37:K54">
    <cfRule type="duplicateValues" dxfId="117" priority="104"/>
  </conditionalFormatting>
  <conditionalFormatting sqref="K110:K111 K6:K54 K61:K64 K88">
    <cfRule type="duplicateValues" dxfId="116" priority="95"/>
  </conditionalFormatting>
  <conditionalFormatting sqref="K55:K60">
    <cfRule type="duplicateValues" dxfId="115" priority="86"/>
  </conditionalFormatting>
  <conditionalFormatting sqref="K55:K60">
    <cfRule type="duplicateValues" dxfId="114" priority="87"/>
    <cfRule type="duplicateValues" dxfId="113" priority="88"/>
  </conditionalFormatting>
  <conditionalFormatting sqref="K55:K60">
    <cfRule type="duplicateValues" dxfId="112" priority="89"/>
  </conditionalFormatting>
  <conditionalFormatting sqref="K55:K60">
    <cfRule type="duplicateValues" dxfId="111" priority="90"/>
  </conditionalFormatting>
  <conditionalFormatting sqref="K55:K60">
    <cfRule type="duplicateValues" dxfId="110" priority="91"/>
  </conditionalFormatting>
  <conditionalFormatting sqref="K55:K60">
    <cfRule type="duplicateValues" dxfId="109" priority="85"/>
  </conditionalFormatting>
  <conditionalFormatting sqref="K110:K111 K6:K64 K88">
    <cfRule type="duplicateValues" dxfId="108" priority="84"/>
  </conditionalFormatting>
  <conditionalFormatting sqref="K65:K87">
    <cfRule type="duplicateValues" dxfId="107" priority="75"/>
  </conditionalFormatting>
  <conditionalFormatting sqref="K65:K87">
    <cfRule type="duplicateValues" dxfId="106" priority="76"/>
    <cfRule type="duplicateValues" dxfId="105" priority="77"/>
  </conditionalFormatting>
  <conditionalFormatting sqref="K65:K87">
    <cfRule type="duplicateValues" dxfId="104" priority="78"/>
  </conditionalFormatting>
  <conditionalFormatting sqref="K65:K87">
    <cfRule type="duplicateValues" dxfId="103" priority="79"/>
  </conditionalFormatting>
  <conditionalFormatting sqref="K65:K87">
    <cfRule type="duplicateValues" dxfId="102" priority="80"/>
  </conditionalFormatting>
  <conditionalFormatting sqref="K65:K87">
    <cfRule type="duplicateValues" dxfId="101" priority="74"/>
  </conditionalFormatting>
  <conditionalFormatting sqref="K65:K87">
    <cfRule type="duplicateValues" dxfId="100" priority="73"/>
  </conditionalFormatting>
  <conditionalFormatting sqref="K110:K111 K6:K88">
    <cfRule type="duplicateValues" dxfId="99" priority="72"/>
  </conditionalFormatting>
  <conditionalFormatting sqref="K110:K111 K5:K88">
    <cfRule type="duplicateValues" dxfId="98" priority="67"/>
    <cfRule type="duplicateValues" dxfId="97" priority="69"/>
    <cfRule type="duplicateValues" dxfId="96" priority="70"/>
    <cfRule type="duplicateValues" dxfId="95" priority="71"/>
  </conditionalFormatting>
  <conditionalFormatting sqref="K5:K88">
    <cfRule type="duplicateValues" dxfId="94" priority="68"/>
  </conditionalFormatting>
  <conditionalFormatting sqref="K109 K89:K94">
    <cfRule type="duplicateValues" dxfId="93" priority="55"/>
  </conditionalFormatting>
  <conditionalFormatting sqref="K109 K89:K94">
    <cfRule type="duplicateValues" dxfId="92" priority="56"/>
    <cfRule type="duplicateValues" dxfId="91" priority="57"/>
  </conditionalFormatting>
  <conditionalFormatting sqref="K89:K94">
    <cfRule type="duplicateValues" dxfId="90" priority="58"/>
  </conditionalFormatting>
  <conditionalFormatting sqref="K89:K94">
    <cfRule type="duplicateValues" dxfId="89" priority="59"/>
  </conditionalFormatting>
  <conditionalFormatting sqref="K89:K94">
    <cfRule type="duplicateValues" dxfId="88" priority="60"/>
  </conditionalFormatting>
  <conditionalFormatting sqref="K89:K94">
    <cfRule type="duplicateValues" dxfId="87" priority="61"/>
  </conditionalFormatting>
  <conditionalFormatting sqref="K89:K94">
    <cfRule type="duplicateValues" dxfId="86" priority="62"/>
  </conditionalFormatting>
  <conditionalFormatting sqref="K89:K94">
    <cfRule type="duplicateValues" dxfId="85" priority="63"/>
  </conditionalFormatting>
  <conditionalFormatting sqref="K89:K94">
    <cfRule type="duplicateValues" dxfId="84" priority="54"/>
  </conditionalFormatting>
  <conditionalFormatting sqref="K89:K94">
    <cfRule type="duplicateValues" dxfId="83" priority="53"/>
  </conditionalFormatting>
  <conditionalFormatting sqref="K89:K94">
    <cfRule type="duplicateValues" dxfId="82" priority="52"/>
  </conditionalFormatting>
  <conditionalFormatting sqref="K109 K89:K94">
    <cfRule type="duplicateValues" dxfId="81" priority="48"/>
    <cfRule type="duplicateValues" dxfId="80" priority="49"/>
    <cfRule type="duplicateValues" dxfId="79" priority="50"/>
    <cfRule type="duplicateValues" dxfId="78" priority="51"/>
  </conditionalFormatting>
  <conditionalFormatting sqref="K109:K111 K5:K94">
    <cfRule type="duplicateValues" dxfId="77" priority="47"/>
  </conditionalFormatting>
  <conditionalFormatting sqref="BB6:BB110">
    <cfRule type="expression" dxfId="76" priority="1190">
      <formula>$AC6&lt;&gt;""</formula>
    </cfRule>
    <cfRule type="expression" dxfId="75" priority="1191">
      <formula>$AB6&lt;&gt;""</formula>
    </cfRule>
    <cfRule type="expression" dxfId="74" priority="1192">
      <formula>$T6&lt;&gt;0</formula>
    </cfRule>
  </conditionalFormatting>
  <conditionalFormatting sqref="K95:K102">
    <cfRule type="duplicateValues" dxfId="73" priority="1220"/>
  </conditionalFormatting>
  <conditionalFormatting sqref="K95:K102">
    <cfRule type="duplicateValues" dxfId="72" priority="1221"/>
    <cfRule type="duplicateValues" dxfId="71" priority="1222"/>
  </conditionalFormatting>
  <conditionalFormatting sqref="K95:K102">
    <cfRule type="duplicateValues" dxfId="70" priority="1232"/>
    <cfRule type="duplicateValues" dxfId="69" priority="1233"/>
    <cfRule type="duplicateValues" dxfId="68" priority="1234"/>
    <cfRule type="duplicateValues" dxfId="67" priority="1235"/>
  </conditionalFormatting>
  <conditionalFormatting sqref="K5:K102 K109:K111">
    <cfRule type="duplicateValues" dxfId="66" priority="1237"/>
  </conditionalFormatting>
  <conditionalFormatting sqref="K103:K108">
    <cfRule type="duplicateValues" dxfId="65" priority="1239"/>
  </conditionalFormatting>
  <conditionalFormatting sqref="K103:K108">
    <cfRule type="duplicateValues" dxfId="64" priority="1240"/>
    <cfRule type="duplicateValues" dxfId="63" priority="1241"/>
  </conditionalFormatting>
  <conditionalFormatting sqref="K103:K108">
    <cfRule type="duplicateValues" dxfId="62" priority="1251"/>
    <cfRule type="duplicateValues" dxfId="61" priority="1252"/>
    <cfRule type="duplicateValues" dxfId="60" priority="1253"/>
    <cfRule type="duplicateValues" dxfId="59" priority="1254"/>
  </conditionalFormatting>
  <conditionalFormatting sqref="K5:K111">
    <cfRule type="duplicateValues" dxfId="58" priority="1257"/>
    <cfRule type="duplicateValues" dxfId="57" priority="1258"/>
  </conditionalFormatting>
  <conditionalFormatting sqref="K5:K108">
    <cfRule type="duplicateValues" dxfId="56" priority="1"/>
    <cfRule type="duplicateValues" dxfId="55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W120" activePane="bottomRight" state="frozen"/>
      <selection pane="topRight" activeCell="L1" sqref="L1"/>
      <selection pane="bottomLeft" activeCell="A3" sqref="A3"/>
      <selection pane="bottomRight" activeCell="X129" sqref="X129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54" priority="748"/>
  </conditionalFormatting>
  <conditionalFormatting sqref="K6 K24">
    <cfRule type="duplicateValues" dxfId="53" priority="749"/>
  </conditionalFormatting>
  <conditionalFormatting sqref="K7:K23">
    <cfRule type="duplicateValues" dxfId="52" priority="751"/>
  </conditionalFormatting>
  <conditionalFormatting sqref="K126 K6:K24">
    <cfRule type="duplicateValues" dxfId="51" priority="752"/>
    <cfRule type="duplicateValues" dxfId="50" priority="753"/>
  </conditionalFormatting>
  <conditionalFormatting sqref="K25:K31 K54:K57">
    <cfRule type="duplicateValues" dxfId="49" priority="756"/>
  </conditionalFormatting>
  <conditionalFormatting sqref="K25:K31 K54:K57">
    <cfRule type="duplicateValues" dxfId="48" priority="758"/>
    <cfRule type="duplicateValues" dxfId="47" priority="759"/>
  </conditionalFormatting>
  <conditionalFormatting sqref="K27:K53">
    <cfRule type="duplicateValues" dxfId="46" priority="762"/>
  </conditionalFormatting>
  <conditionalFormatting sqref="K27:K53">
    <cfRule type="duplicateValues" dxfId="45" priority="763"/>
    <cfRule type="duplicateValues" dxfId="44" priority="764"/>
  </conditionalFormatting>
  <conditionalFormatting sqref="K126 K6:K57">
    <cfRule type="duplicateValues" dxfId="43" priority="765"/>
  </conditionalFormatting>
  <conditionalFormatting sqref="K58:K62 K72:K75">
    <cfRule type="duplicateValues" dxfId="42" priority="767"/>
  </conditionalFormatting>
  <conditionalFormatting sqref="K58:K62 K72:K75">
    <cfRule type="duplicateValues" dxfId="41" priority="769"/>
    <cfRule type="duplicateValues" dxfId="40" priority="770"/>
  </conditionalFormatting>
  <conditionalFormatting sqref="K58:K62">
    <cfRule type="duplicateValues" dxfId="39" priority="773"/>
  </conditionalFormatting>
  <conditionalFormatting sqref="K126 K5:K62 K72:K75">
    <cfRule type="duplicateValues" dxfId="38" priority="774"/>
  </conditionalFormatting>
  <conditionalFormatting sqref="K63:K71">
    <cfRule type="duplicateValues" dxfId="37" priority="777"/>
  </conditionalFormatting>
  <conditionalFormatting sqref="K63:K71">
    <cfRule type="duplicateValues" dxfId="36" priority="778"/>
    <cfRule type="duplicateValues" dxfId="35" priority="779"/>
  </conditionalFormatting>
  <conditionalFormatting sqref="K126 K5:K75">
    <cfRule type="duplicateValues" dxfId="34" priority="780"/>
  </conditionalFormatting>
  <conditionalFormatting sqref="K76:K79 K90:K92 K116">
    <cfRule type="duplicateValues" dxfId="33" priority="782"/>
  </conditionalFormatting>
  <conditionalFormatting sqref="K76:K79 K90:K92 K116">
    <cfRule type="duplicateValues" dxfId="32" priority="785"/>
    <cfRule type="duplicateValues" dxfId="31" priority="786"/>
  </conditionalFormatting>
  <conditionalFormatting sqref="K76:K79">
    <cfRule type="duplicateValues" dxfId="30" priority="791"/>
  </conditionalFormatting>
  <conditionalFormatting sqref="K80:K89">
    <cfRule type="duplicateValues" dxfId="29" priority="792"/>
  </conditionalFormatting>
  <conditionalFormatting sqref="K80:K89">
    <cfRule type="duplicateValues" dxfId="28" priority="793"/>
    <cfRule type="duplicateValues" dxfId="27" priority="794"/>
  </conditionalFormatting>
  <conditionalFormatting sqref="K126:K127 K5:K92 K116">
    <cfRule type="duplicateValues" dxfId="26" priority="795"/>
  </conditionalFormatting>
  <conditionalFormatting sqref="K99:K113 K115">
    <cfRule type="duplicateValues" dxfId="25" priority="798"/>
  </conditionalFormatting>
  <conditionalFormatting sqref="K99:K113 K115">
    <cfRule type="duplicateValues" dxfId="24" priority="800"/>
    <cfRule type="duplicateValues" dxfId="23" priority="801"/>
  </conditionalFormatting>
  <conditionalFormatting sqref="K93:K98">
    <cfRule type="duplicateValues" dxfId="22" priority="804"/>
  </conditionalFormatting>
  <conditionalFormatting sqref="K93:K98">
    <cfRule type="duplicateValues" dxfId="21" priority="805"/>
    <cfRule type="duplicateValues" dxfId="20" priority="806"/>
  </conditionalFormatting>
  <conditionalFormatting sqref="K126:K127 K5:K113 K115:K116">
    <cfRule type="duplicateValues" dxfId="19" priority="807"/>
  </conditionalFormatting>
  <conditionalFormatting sqref="K114">
    <cfRule type="duplicateValues" dxfId="18" priority="810"/>
  </conditionalFormatting>
  <conditionalFormatting sqref="K114">
    <cfRule type="duplicateValues" dxfId="17" priority="811"/>
    <cfRule type="duplicateValues" dxfId="16" priority="812"/>
  </conditionalFormatting>
  <conditionalFormatting sqref="K126:K127 K5:K116">
    <cfRule type="duplicateValues" dxfId="15" priority="813"/>
  </conditionalFormatting>
  <conditionalFormatting sqref="K117:K123 K125">
    <cfRule type="duplicateValues" dxfId="14" priority="844"/>
  </conditionalFormatting>
  <conditionalFormatting sqref="K117:K123 K125">
    <cfRule type="duplicateValues" dxfId="13" priority="846"/>
    <cfRule type="duplicateValues" dxfId="12" priority="847"/>
  </conditionalFormatting>
  <conditionalFormatting sqref="K5:K123 K125:K127">
    <cfRule type="duplicateValues" dxfId="11" priority="850"/>
  </conditionalFormatting>
  <conditionalFormatting sqref="K124">
    <cfRule type="duplicateValues" dxfId="10" priority="852"/>
  </conditionalFormatting>
  <conditionalFormatting sqref="K124">
    <cfRule type="duplicateValues" dxfId="9" priority="853"/>
    <cfRule type="duplicateValues" dxfId="8" priority="854"/>
  </conditionalFormatting>
  <conditionalFormatting sqref="K5:K127">
    <cfRule type="duplicateValues" dxfId="7" priority="1"/>
    <cfRule type="duplicateValues" dxfId="6" priority="855"/>
  </conditionalFormatting>
  <conditionalFormatting sqref="BB6:BB126">
    <cfRule type="expression" dxfId="5" priority="1019">
      <formula>$AC6&lt;&gt;""</formula>
    </cfRule>
    <cfRule type="expression" dxfId="4" priority="1020">
      <formula>$AB6&lt;&gt;""</formula>
    </cfRule>
    <cfRule type="expression" dxfId="3" priority="1021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Sep-26</vt:lpstr>
      <vt:lpstr>Aug-26</vt:lpstr>
      <vt:lpstr>Jul-26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2026-09-25T11:59:57Z</dcterms:modified>
</cp:coreProperties>
</file>