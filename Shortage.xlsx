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8DF34319-8654-4182-8C8C-594444F2AC9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Jul-26" sheetId="4" r:id="rId1"/>
    <sheet name="Aug-26" sheetId="5" r:id="rId2"/>
  </sheets>
  <definedNames>
    <definedName name="_xlnm._FilterDatabase" localSheetId="1" hidden="1">'Aug-26'!$A$5:$BF$117</definedName>
    <definedName name="_xlnm._FilterDatabase" localSheetId="0" hidden="1">'Jul-26'!$A$5:$BG$127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112" i="5" l="1"/>
  <c r="BB112" i="5"/>
  <c r="BE112" i="5" s="1"/>
  <c r="BF112" i="5" s="1"/>
  <c r="AP112" i="5"/>
  <c r="AQ112" i="5" s="1"/>
  <c r="AR112" i="5" s="1"/>
  <c r="AI112" i="5"/>
  <c r="T112" i="5"/>
  <c r="Z112" i="5" s="1"/>
  <c r="AA112" i="5" s="1"/>
  <c r="A112" i="5"/>
  <c r="BC111" i="5"/>
  <c r="AP111" i="5"/>
  <c r="AQ111" i="5" s="1"/>
  <c r="AR111" i="5" s="1"/>
  <c r="AI111" i="5"/>
  <c r="T111" i="5"/>
  <c r="Z111" i="5" s="1"/>
  <c r="AA111" i="5" s="1"/>
  <c r="A111" i="5"/>
  <c r="BC110" i="5"/>
  <c r="AP110" i="5"/>
  <c r="AQ110" i="5" s="1"/>
  <c r="AR110" i="5" s="1"/>
  <c r="AI110" i="5"/>
  <c r="T110" i="5"/>
  <c r="Z110" i="5" s="1"/>
  <c r="AA110" i="5" s="1"/>
  <c r="A110" i="5"/>
  <c r="BC109" i="5"/>
  <c r="AP109" i="5"/>
  <c r="AQ109" i="5" s="1"/>
  <c r="AR109" i="5" s="1"/>
  <c r="AI109" i="5"/>
  <c r="T109" i="5"/>
  <c r="Z109" i="5" s="1"/>
  <c r="AA109" i="5" s="1"/>
  <c r="A109" i="5"/>
  <c r="BC108" i="5"/>
  <c r="AP108" i="5"/>
  <c r="AQ108" i="5" s="1"/>
  <c r="AR108" i="5" s="1"/>
  <c r="AI108" i="5"/>
  <c r="T108" i="5"/>
  <c r="Z108" i="5" s="1"/>
  <c r="AA108" i="5" s="1"/>
  <c r="A108" i="5"/>
  <c r="BC107" i="5"/>
  <c r="AP107" i="5"/>
  <c r="AQ107" i="5" s="1"/>
  <c r="AR107" i="5" s="1"/>
  <c r="AI107" i="5"/>
  <c r="T107" i="5"/>
  <c r="Z107" i="5" s="1"/>
  <c r="AA107" i="5" s="1"/>
  <c r="A107" i="5"/>
  <c r="BC106" i="5"/>
  <c r="AP106" i="5"/>
  <c r="AQ106" i="5" s="1"/>
  <c r="AR106" i="5" s="1"/>
  <c r="AI106" i="5"/>
  <c r="T106" i="5"/>
  <c r="Z106" i="5" s="1"/>
  <c r="AA106" i="5" s="1"/>
  <c r="A106" i="5"/>
  <c r="BC105" i="5"/>
  <c r="AP105" i="5"/>
  <c r="AQ105" i="5" s="1"/>
  <c r="AR105" i="5" s="1"/>
  <c r="AI105" i="5"/>
  <c r="T105" i="5"/>
  <c r="Z105" i="5" s="1"/>
  <c r="AA105" i="5" s="1"/>
  <c r="A105" i="5"/>
  <c r="BC104" i="5"/>
  <c r="AP104" i="5"/>
  <c r="AQ104" i="5" s="1"/>
  <c r="AR104" i="5" s="1"/>
  <c r="AI104" i="5"/>
  <c r="T104" i="5"/>
  <c r="Z104" i="5" s="1"/>
  <c r="AA104" i="5" s="1"/>
  <c r="A104" i="5"/>
  <c r="BC103" i="5"/>
  <c r="AP103" i="5"/>
  <c r="AQ103" i="5" s="1"/>
  <c r="AR103" i="5" s="1"/>
  <c r="AI103" i="5"/>
  <c r="T103" i="5"/>
  <c r="Z103" i="5" s="1"/>
  <c r="AA103" i="5" s="1"/>
  <c r="A103" i="5"/>
  <c r="BC114" i="5"/>
  <c r="AP114" i="5"/>
  <c r="AQ114" i="5" s="1"/>
  <c r="AR114" i="5" s="1"/>
  <c r="AI114" i="5"/>
  <c r="T114" i="5"/>
  <c r="BB114" i="5" s="1"/>
  <c r="A114" i="5"/>
  <c r="BC113" i="5"/>
  <c r="AP113" i="5"/>
  <c r="AQ113" i="5" s="1"/>
  <c r="AR113" i="5" s="1"/>
  <c r="AI113" i="5"/>
  <c r="T113" i="5"/>
  <c r="Z113" i="5" s="1"/>
  <c r="AA113" i="5" s="1"/>
  <c r="A113" i="5"/>
  <c r="BC102" i="5"/>
  <c r="AP102" i="5"/>
  <c r="AQ102" i="5" s="1"/>
  <c r="AR102" i="5" s="1"/>
  <c r="AI102" i="5"/>
  <c r="T102" i="5"/>
  <c r="Z102" i="5" s="1"/>
  <c r="AA102" i="5" s="1"/>
  <c r="A102" i="5"/>
  <c r="BC101" i="5"/>
  <c r="AP101" i="5"/>
  <c r="AQ101" i="5" s="1"/>
  <c r="AR101" i="5" s="1"/>
  <c r="AI101" i="5"/>
  <c r="T101" i="5"/>
  <c r="Z101" i="5" s="1"/>
  <c r="AA101" i="5" s="1"/>
  <c r="A101" i="5"/>
  <c r="BC100" i="5"/>
  <c r="AP100" i="5"/>
  <c r="AQ100" i="5" s="1"/>
  <c r="AR100" i="5" s="1"/>
  <c r="AI100" i="5"/>
  <c r="T100" i="5"/>
  <c r="Z100" i="5" s="1"/>
  <c r="AA100" i="5" s="1"/>
  <c r="A100" i="5"/>
  <c r="BC99" i="5"/>
  <c r="AP99" i="5"/>
  <c r="AQ99" i="5" s="1"/>
  <c r="AR99" i="5" s="1"/>
  <c r="AI99" i="5"/>
  <c r="T99" i="5"/>
  <c r="Z99" i="5" s="1"/>
  <c r="AA99" i="5" s="1"/>
  <c r="A99" i="5"/>
  <c r="BC98" i="5"/>
  <c r="AP98" i="5"/>
  <c r="AQ98" i="5" s="1"/>
  <c r="AR98" i="5" s="1"/>
  <c r="AI98" i="5"/>
  <c r="T98" i="5"/>
  <c r="Z98" i="5" s="1"/>
  <c r="AA98" i="5" s="1"/>
  <c r="A98" i="5"/>
  <c r="BC97" i="5"/>
  <c r="AP97" i="5"/>
  <c r="AQ97" i="5" s="1"/>
  <c r="AR97" i="5" s="1"/>
  <c r="AI97" i="5"/>
  <c r="T97" i="5"/>
  <c r="Z97" i="5" s="1"/>
  <c r="AA97" i="5" s="1"/>
  <c r="A97" i="5"/>
  <c r="BC96" i="5"/>
  <c r="AP96" i="5"/>
  <c r="AQ96" i="5" s="1"/>
  <c r="AR96" i="5" s="1"/>
  <c r="AI96" i="5"/>
  <c r="T96" i="5"/>
  <c r="Z96" i="5" s="1"/>
  <c r="AA96" i="5" s="1"/>
  <c r="A96" i="5"/>
  <c r="BC95" i="5"/>
  <c r="AP95" i="5"/>
  <c r="AQ95" i="5" s="1"/>
  <c r="AR95" i="5" s="1"/>
  <c r="AI95" i="5"/>
  <c r="T95" i="5"/>
  <c r="Z95" i="5" s="1"/>
  <c r="AA95" i="5" s="1"/>
  <c r="A95" i="5"/>
  <c r="BC115" i="5"/>
  <c r="AP115" i="5"/>
  <c r="AQ115" i="5" s="1"/>
  <c r="AR115" i="5" s="1"/>
  <c r="AI115" i="5"/>
  <c r="T115" i="5"/>
  <c r="Z115" i="5" s="1"/>
  <c r="AA115" i="5" s="1"/>
  <c r="A115" i="5"/>
  <c r="BC94" i="5"/>
  <c r="AP94" i="5"/>
  <c r="AQ94" i="5" s="1"/>
  <c r="AR94" i="5" s="1"/>
  <c r="AI94" i="5"/>
  <c r="T94" i="5"/>
  <c r="Z94" i="5" s="1"/>
  <c r="AA94" i="5" s="1"/>
  <c r="A94" i="5"/>
  <c r="BC93" i="5"/>
  <c r="AP93" i="5"/>
  <c r="AQ93" i="5" s="1"/>
  <c r="AR93" i="5" s="1"/>
  <c r="AI93" i="5"/>
  <c r="T93" i="5"/>
  <c r="Z93" i="5" s="1"/>
  <c r="AA93" i="5" s="1"/>
  <c r="A93" i="5"/>
  <c r="BC92" i="5"/>
  <c r="AP92" i="5"/>
  <c r="AQ92" i="5" s="1"/>
  <c r="AR92" i="5" s="1"/>
  <c r="AI92" i="5"/>
  <c r="T92" i="5"/>
  <c r="Z92" i="5" s="1"/>
  <c r="AA92" i="5" s="1"/>
  <c r="A92" i="5"/>
  <c r="BC91" i="5"/>
  <c r="AP91" i="5"/>
  <c r="AQ91" i="5" s="1"/>
  <c r="AR91" i="5" s="1"/>
  <c r="AI91" i="5"/>
  <c r="T91" i="5"/>
  <c r="Z91" i="5" s="1"/>
  <c r="AA91" i="5" s="1"/>
  <c r="A91" i="5"/>
  <c r="BC90" i="5"/>
  <c r="AP90" i="5"/>
  <c r="AQ90" i="5" s="1"/>
  <c r="AR90" i="5" s="1"/>
  <c r="AI90" i="5"/>
  <c r="T90" i="5"/>
  <c r="Z90" i="5" s="1"/>
  <c r="AA90" i="5" s="1"/>
  <c r="A90" i="5"/>
  <c r="BC89" i="5"/>
  <c r="AP89" i="5"/>
  <c r="AQ89" i="5" s="1"/>
  <c r="AR89" i="5" s="1"/>
  <c r="AI89" i="5"/>
  <c r="T89" i="5"/>
  <c r="Z89" i="5" s="1"/>
  <c r="AA89" i="5" s="1"/>
  <c r="A89" i="5"/>
  <c r="BC75" i="5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B103" i="5" l="1"/>
  <c r="BE103" i="5" s="1"/>
  <c r="BF103" i="5" s="1"/>
  <c r="BB105" i="5"/>
  <c r="BE105" i="5" s="1"/>
  <c r="BF105" i="5" s="1"/>
  <c r="BB107" i="5"/>
  <c r="BE107" i="5" s="1"/>
  <c r="BF107" i="5" s="1"/>
  <c r="BB109" i="5"/>
  <c r="BE109" i="5" s="1"/>
  <c r="BF109" i="5" s="1"/>
  <c r="BB104" i="5"/>
  <c r="BE104" i="5" s="1"/>
  <c r="BF104" i="5" s="1"/>
  <c r="BB106" i="5"/>
  <c r="BE106" i="5" s="1"/>
  <c r="BF106" i="5" s="1"/>
  <c r="BB108" i="5"/>
  <c r="BE108" i="5" s="1"/>
  <c r="BF108" i="5" s="1"/>
  <c r="BB110" i="5"/>
  <c r="BE110" i="5" s="1"/>
  <c r="BF110" i="5" s="1"/>
  <c r="BB111" i="5"/>
  <c r="BE111" i="5" s="1"/>
  <c r="BF111" i="5" s="1"/>
  <c r="BB101" i="5"/>
  <c r="BE101" i="5" s="1"/>
  <c r="BF101" i="5" s="1"/>
  <c r="BB94" i="5"/>
  <c r="BE94" i="5" s="1"/>
  <c r="BF94" i="5" s="1"/>
  <c r="BB92" i="5"/>
  <c r="BE92" i="5" s="1"/>
  <c r="BF92" i="5" s="1"/>
  <c r="BB99" i="5"/>
  <c r="BE99" i="5" s="1"/>
  <c r="BF99" i="5" s="1"/>
  <c r="BB90" i="5"/>
  <c r="BE90" i="5" s="1"/>
  <c r="BF90" i="5" s="1"/>
  <c r="BB97" i="5"/>
  <c r="BE97" i="5" s="1"/>
  <c r="BF97" i="5" s="1"/>
  <c r="BE114" i="5"/>
  <c r="BF114" i="5" s="1"/>
  <c r="BB95" i="5"/>
  <c r="BE95" i="5" s="1"/>
  <c r="BF95" i="5" s="1"/>
  <c r="BB113" i="5"/>
  <c r="BE113" i="5" s="1"/>
  <c r="BF113" i="5" s="1"/>
  <c r="BB89" i="5"/>
  <c r="BE89" i="5" s="1"/>
  <c r="BF89" i="5" s="1"/>
  <c r="BB91" i="5"/>
  <c r="BE91" i="5" s="1"/>
  <c r="BF91" i="5" s="1"/>
  <c r="BB93" i="5"/>
  <c r="BE93" i="5" s="1"/>
  <c r="BF93" i="5" s="1"/>
  <c r="BB115" i="5"/>
  <c r="BE115" i="5" s="1"/>
  <c r="BF115" i="5" s="1"/>
  <c r="BB96" i="5"/>
  <c r="BE96" i="5" s="1"/>
  <c r="BF96" i="5" s="1"/>
  <c r="BB98" i="5"/>
  <c r="BE98" i="5" s="1"/>
  <c r="BF98" i="5" s="1"/>
  <c r="BB100" i="5"/>
  <c r="BE100" i="5" s="1"/>
  <c r="BF100" i="5" s="1"/>
  <c r="BB102" i="5"/>
  <c r="BE102" i="5" s="1"/>
  <c r="BF102" i="5" s="1"/>
  <c r="Z114" i="5"/>
  <c r="AA114" i="5" s="1"/>
  <c r="BE76" i="5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117" i="5"/>
  <c r="AY117" i="5"/>
  <c r="AX117" i="5"/>
  <c r="AW117" i="5"/>
  <c r="AV117" i="5"/>
  <c r="AU117" i="5"/>
  <c r="AT117" i="5"/>
  <c r="AS117" i="5"/>
  <c r="AH117" i="5"/>
  <c r="AG117" i="5"/>
  <c r="AF117" i="5"/>
  <c r="Y117" i="5"/>
  <c r="X117" i="5"/>
  <c r="W117" i="5"/>
  <c r="V117" i="5"/>
  <c r="U117" i="5"/>
  <c r="S117" i="5"/>
  <c r="R117" i="5"/>
  <c r="B117" i="5"/>
  <c r="BC116" i="5"/>
  <c r="AP116" i="5"/>
  <c r="AQ116" i="5" s="1"/>
  <c r="AR116" i="5" s="1"/>
  <c r="AI116" i="5"/>
  <c r="T116" i="5"/>
  <c r="A116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116" i="5"/>
  <c r="BE116" i="5" s="1"/>
  <c r="BF116" i="5" s="1"/>
  <c r="Z116" i="5"/>
  <c r="AA116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117" i="5"/>
  <c r="AA14" i="5"/>
  <c r="BE30" i="4"/>
  <c r="BF30" i="4" s="1"/>
  <c r="BE28" i="4"/>
  <c r="BF28" i="4" s="1"/>
  <c r="AR117" i="5"/>
  <c r="AI117" i="5"/>
  <c r="A117" i="5"/>
  <c r="T117" i="5"/>
  <c r="Z117" i="5" s="1"/>
  <c r="AA117" i="5" s="1"/>
  <c r="BC117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117" i="5" l="1"/>
  <c r="BE117" i="5"/>
  <c r="BC125" i="4"/>
  <c r="AP125" i="4"/>
  <c r="AQ125" i="4" s="1"/>
  <c r="AR125" i="4" s="1"/>
  <c r="AI125" i="4"/>
  <c r="T125" i="4"/>
  <c r="Z125" i="4" s="1"/>
  <c r="AA125" i="4" s="1"/>
  <c r="A125" i="4"/>
  <c r="BF117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<sst xmlns="http://schemas.openxmlformats.org/spreadsheetml/2006/main" count="1279" uniqueCount="75">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</sst>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71">
    <dxf>
      <fill>
        <patternFill patternType="none">
          <fgColor indexed="64"/>
          <bgColor indexed="65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W120" activePane="bottomRight" state="frozen"/>
      <selection pane="topRight" activeCell="L1" sqref="L1"/>
      <selection pane="bottomLeft" activeCell="A3" sqref="A3"/>
      <selection pane="bottomRight" activeCell="BB6" sqref="BB6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160" priority="748"/>
  </conditionalFormatting>
  <conditionalFormatting sqref="K6 K24">
    <cfRule type="duplicateValues" dxfId="159" priority="749"/>
  </conditionalFormatting>
  <conditionalFormatting sqref="K7:K23">
    <cfRule type="duplicateValues" dxfId="158" priority="751"/>
  </conditionalFormatting>
  <conditionalFormatting sqref="K126 K6:K24">
    <cfRule type="duplicateValues" dxfId="157" priority="752"/>
    <cfRule type="duplicateValues" dxfId="156" priority="753"/>
  </conditionalFormatting>
  <conditionalFormatting sqref="K25:K31 K54:K57">
    <cfRule type="duplicateValues" dxfId="155" priority="756"/>
  </conditionalFormatting>
  <conditionalFormatting sqref="K25:K31 K54:K57">
    <cfRule type="duplicateValues" dxfId="154" priority="758"/>
    <cfRule type="duplicateValues" dxfId="153" priority="759"/>
  </conditionalFormatting>
  <conditionalFormatting sqref="K27:K53">
    <cfRule type="duplicateValues" dxfId="152" priority="762"/>
  </conditionalFormatting>
  <conditionalFormatting sqref="K27:K53">
    <cfRule type="duplicateValues" dxfId="151" priority="763"/>
    <cfRule type="duplicateValues" dxfId="150" priority="764"/>
  </conditionalFormatting>
  <conditionalFormatting sqref="K126 K6:K57">
    <cfRule type="duplicateValues" dxfId="149" priority="765"/>
  </conditionalFormatting>
  <conditionalFormatting sqref="K58:K62 K72:K75">
    <cfRule type="duplicateValues" dxfId="148" priority="767"/>
  </conditionalFormatting>
  <conditionalFormatting sqref="K58:K62 K72:K75">
    <cfRule type="duplicateValues" dxfId="147" priority="769"/>
    <cfRule type="duplicateValues" dxfId="146" priority="770"/>
  </conditionalFormatting>
  <conditionalFormatting sqref="K58:K62">
    <cfRule type="duplicateValues" dxfId="145" priority="773"/>
  </conditionalFormatting>
  <conditionalFormatting sqref="K126 K5:K62 K72:K75">
    <cfRule type="duplicateValues" dxfId="144" priority="774"/>
  </conditionalFormatting>
  <conditionalFormatting sqref="K63:K71">
    <cfRule type="duplicateValues" dxfId="143" priority="777"/>
  </conditionalFormatting>
  <conditionalFormatting sqref="K63:K71">
    <cfRule type="duplicateValues" dxfId="142" priority="778"/>
    <cfRule type="duplicateValues" dxfId="141" priority="779"/>
  </conditionalFormatting>
  <conditionalFormatting sqref="K126 K5:K75">
    <cfRule type="duplicateValues" dxfId="140" priority="780"/>
  </conditionalFormatting>
  <conditionalFormatting sqref="K76:K79 K90:K92 K116">
    <cfRule type="duplicateValues" dxfId="139" priority="782"/>
  </conditionalFormatting>
  <conditionalFormatting sqref="K76:K79 K90:K92 K116">
    <cfRule type="duplicateValues" dxfId="138" priority="785"/>
    <cfRule type="duplicateValues" dxfId="137" priority="786"/>
  </conditionalFormatting>
  <conditionalFormatting sqref="K76:K79">
    <cfRule type="duplicateValues" dxfId="136" priority="791"/>
  </conditionalFormatting>
  <conditionalFormatting sqref="K80:K89">
    <cfRule type="duplicateValues" dxfId="135" priority="792"/>
  </conditionalFormatting>
  <conditionalFormatting sqref="K80:K89">
    <cfRule type="duplicateValues" dxfId="134" priority="793"/>
    <cfRule type="duplicateValues" dxfId="133" priority="794"/>
  </conditionalFormatting>
  <conditionalFormatting sqref="K126:K127 K5:K92 K116">
    <cfRule type="duplicateValues" dxfId="132" priority="795"/>
  </conditionalFormatting>
  <conditionalFormatting sqref="K99:K113 K115">
    <cfRule type="duplicateValues" dxfId="131" priority="798"/>
  </conditionalFormatting>
  <conditionalFormatting sqref="K99:K113 K115">
    <cfRule type="duplicateValues" dxfId="130" priority="800"/>
    <cfRule type="duplicateValues" dxfId="129" priority="801"/>
  </conditionalFormatting>
  <conditionalFormatting sqref="K93:K98">
    <cfRule type="duplicateValues" dxfId="128" priority="804"/>
  </conditionalFormatting>
  <conditionalFormatting sqref="K93:K98">
    <cfRule type="duplicateValues" dxfId="127" priority="805"/>
    <cfRule type="duplicateValues" dxfId="126" priority="806"/>
  </conditionalFormatting>
  <conditionalFormatting sqref="K126:K127 K5:K113 K115:K116">
    <cfRule type="duplicateValues" dxfId="125" priority="807"/>
  </conditionalFormatting>
  <conditionalFormatting sqref="K114">
    <cfRule type="duplicateValues" dxfId="124" priority="810"/>
  </conditionalFormatting>
  <conditionalFormatting sqref="K114">
    <cfRule type="duplicateValues" dxfId="123" priority="811"/>
    <cfRule type="duplicateValues" dxfId="122" priority="812"/>
  </conditionalFormatting>
  <conditionalFormatting sqref="K126:K127 K5:K116">
    <cfRule type="duplicateValues" dxfId="121" priority="813"/>
  </conditionalFormatting>
  <conditionalFormatting sqref="K117:K123 K125">
    <cfRule type="duplicateValues" dxfId="120" priority="844"/>
  </conditionalFormatting>
  <conditionalFormatting sqref="K117:K123 K125">
    <cfRule type="duplicateValues" dxfId="119" priority="846"/>
    <cfRule type="duplicateValues" dxfId="118" priority="847"/>
  </conditionalFormatting>
  <conditionalFormatting sqref="K5:K123 K125:K127">
    <cfRule type="duplicateValues" dxfId="117" priority="850"/>
  </conditionalFormatting>
  <conditionalFormatting sqref="K124">
    <cfRule type="duplicateValues" dxfId="116" priority="852"/>
  </conditionalFormatting>
  <conditionalFormatting sqref="K124">
    <cfRule type="duplicateValues" dxfId="115" priority="853"/>
    <cfRule type="duplicateValues" dxfId="114" priority="854"/>
  </conditionalFormatting>
  <conditionalFormatting sqref="K5:K127">
    <cfRule type="duplicateValues" dxfId="113" priority="1"/>
    <cfRule type="duplicateValues" dxfId="112" priority="855"/>
  </conditionalFormatting>
  <conditionalFormatting sqref="BB6:BB126">
    <cfRule type="expression" dxfId="111" priority="1019">
      <formula>$AC6&lt;&gt;""</formula>
    </cfRule>
    <cfRule type="expression" dxfId="110" priority="1020">
      <formula>$AB6&lt;&gt;""</formula>
    </cfRule>
    <cfRule type="expression" dxfId="109" priority="1021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117"/>
  <sheetViews>
    <sheetView tabSelected="1" workbookViewId="0">
      <pane xSplit="11" ySplit="5" topLeftCell="L6" activePane="bottomRight" state="frozen"/>
      <selection pane="topRight" activeCell="L1" sqref="L1"/>
      <selection pane="bottomLeft" activeCell="A3" sqref="A3"/>
      <selection pane="bottomRight" activeCell="A5" sqref="A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116" si="0">+R6-S6</f>
        <v>3897.2</v>
      </c>
      <c r="U6" s="46">
        <v>3917.2</v>
      </c>
      <c r="V6" s="46"/>
      <c r="W6" s="46"/>
      <c r="X6" s="46">
        <v>3787</v>
      </c>
      <c r="Y6" s="46"/>
      <c r="Z6" s="46">
        <f>+T6-X6</f>
        <v>110.19999999999982</v>
      </c>
      <c r="AA6" s="39">
        <f>Z6/T6</f>
        <v>2.8276711485168794E-2</v>
      </c>
      <c r="AB6" s="73">
        <v>3897.2</v>
      </c>
      <c r="AC6" s="73">
        <v>3897.2</v>
      </c>
      <c r="AD6" s="73"/>
      <c r="AE6" s="39"/>
      <c r="AF6" s="74"/>
      <c r="AG6" s="74"/>
      <c r="AH6" s="75"/>
      <c r="AI6" s="75">
        <f t="shared" ref="AI6:AI116" si="1">+AG6+AH6</f>
        <v>0</v>
      </c>
      <c r="AJ6" s="32"/>
      <c r="AK6" s="32"/>
      <c r="AL6" s="32"/>
      <c r="AM6" s="33"/>
      <c r="AN6" s="33"/>
      <c r="AO6" s="33"/>
      <c r="AP6" s="34">
        <f t="shared" ref="AP6:AP116" si="2">ROUNDUP((AO6-AM6+(AO6&lt;AM6))*24,0)</f>
        <v>0</v>
      </c>
      <c r="AQ6" s="32">
        <f t="shared" ref="AQ6:AQ116" si="3">IF(AP6&gt;5,(AP6-5),0)</f>
        <v>0</v>
      </c>
      <c r="AR6" s="32">
        <f t="shared" ref="AR6:AR116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3897.2</v>
      </c>
      <c r="BC6" s="45">
        <f>+X6</f>
        <v>3787</v>
      </c>
      <c r="BD6" s="45"/>
      <c r="BE6" s="45">
        <f t="shared" ref="BE6:BE77" si="5">+BB6-BC6</f>
        <v>110.19999999999982</v>
      </c>
      <c r="BF6" s="39">
        <f t="shared" ref="BF6:BF77" si="6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>+T7-X7</f>
        <v>62.699999999999818</v>
      </c>
      <c r="AA7" s="39">
        <f>Z7/T7</f>
        <v>1.6049351114751535E-2</v>
      </c>
      <c r="AB7" s="73">
        <v>3906.7</v>
      </c>
      <c r="AC7" s="73">
        <v>3906.7</v>
      </c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3906.7</v>
      </c>
      <c r="BC7" s="45">
        <f>+X7</f>
        <v>3844</v>
      </c>
      <c r="BD7" s="45"/>
      <c r="BE7" s="45">
        <f t="shared" si="5"/>
        <v>62.699999999999818</v>
      </c>
      <c r="BF7" s="39">
        <f t="shared" si="6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>+T8-X8</f>
        <v>91.899999999999636</v>
      </c>
      <c r="AA8" s="39">
        <f>Z8/T8</f>
        <v>2.5751674279149168E-2</v>
      </c>
      <c r="AB8" s="73">
        <v>3568.7</v>
      </c>
      <c r="AC8" s="73">
        <v>3568.7</v>
      </c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3568.7</v>
      </c>
      <c r="BC8" s="45">
        <f>+X8</f>
        <v>3476.8</v>
      </c>
      <c r="BD8" s="45"/>
      <c r="BE8" s="45">
        <f t="shared" si="5"/>
        <v>91.899999999999636</v>
      </c>
      <c r="BF8" s="39">
        <f t="shared" si="6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>+T9-X9</f>
        <v>-143.69999999999982</v>
      </c>
      <c r="AA9" s="39">
        <f>Z9/T9</f>
        <v>-3.5884629791484532E-2</v>
      </c>
      <c r="AB9" s="73">
        <v>4135.0600000000004</v>
      </c>
      <c r="AC9" s="73">
        <v>4129.5600000000004</v>
      </c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4129.5600000000004</v>
      </c>
      <c r="BC9" s="45">
        <f>+X9</f>
        <v>4148.2</v>
      </c>
      <c r="BD9" s="45"/>
      <c r="BE9" s="45">
        <f t="shared" si="5"/>
        <v>-18.639999999999418</v>
      </c>
      <c r="BF9" s="39">
        <f t="shared" si="6"/>
        <v>-4.5137980801827349E-3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>+T10-X10</f>
        <v>-62.299999999999727</v>
      </c>
      <c r="AA10" s="39">
        <f>Z10/T10</f>
        <v>-1.571684452180926E-2</v>
      </c>
      <c r="AB10" s="73">
        <v>3969.81</v>
      </c>
      <c r="AC10" s="73">
        <v>3963.91</v>
      </c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3963.91</v>
      </c>
      <c r="BC10" s="45">
        <f>+X10</f>
        <v>4026.2</v>
      </c>
      <c r="BD10" s="45"/>
      <c r="BE10" s="45">
        <f t="shared" si="5"/>
        <v>-62.289999999999964</v>
      </c>
      <c r="BF10" s="39">
        <f t="shared" si="6"/>
        <v>-1.5714282110340538E-2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>+T11-X11</f>
        <v>107</v>
      </c>
      <c r="AA11" s="39">
        <f>Z11/T11</f>
        <v>2.7934419381787801E-2</v>
      </c>
      <c r="AB11" s="73">
        <v>3830.4</v>
      </c>
      <c r="AC11" s="73">
        <v>3830.4</v>
      </c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3830.4</v>
      </c>
      <c r="BC11" s="45">
        <f>+X11</f>
        <v>3723.4</v>
      </c>
      <c r="BD11" s="45"/>
      <c r="BE11" s="45">
        <f t="shared" si="5"/>
        <v>107</v>
      </c>
      <c r="BF11" s="39">
        <f t="shared" si="6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>+T12-X12</f>
        <v>58</v>
      </c>
      <c r="AA12" s="39">
        <f>Z12/T12</f>
        <v>1.6925411462589003E-2</v>
      </c>
      <c r="AB12" s="73">
        <v>3426.75</v>
      </c>
      <c r="AC12" s="73">
        <v>3426.75</v>
      </c>
      <c r="AD12" s="73"/>
      <c r="AE12" s="39"/>
      <c r="AF12" s="74"/>
      <c r="AG12" s="74"/>
      <c r="AH12" s="75"/>
      <c r="AI12" s="75">
        <f t="shared" si="1"/>
        <v>0</v>
      </c>
      <c r="AJ12" s="32"/>
      <c r="AK12" s="32"/>
      <c r="AL12" s="32"/>
      <c r="AM12" s="33"/>
      <c r="AN12" s="33"/>
      <c r="AO12" s="33"/>
      <c r="AP12" s="34">
        <f t="shared" si="2"/>
        <v>0</v>
      </c>
      <c r="AQ12" s="32">
        <f t="shared" si="3"/>
        <v>0</v>
      </c>
      <c r="AR12" s="32">
        <f t="shared" si="4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3426.75</v>
      </c>
      <c r="BC12" s="45">
        <f>+X12</f>
        <v>3368.8</v>
      </c>
      <c r="BD12" s="45"/>
      <c r="BE12" s="45">
        <f t="shared" si="5"/>
        <v>57.949999999999818</v>
      </c>
      <c r="BF12" s="39">
        <f t="shared" si="6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>+T13-X13</f>
        <v>114.20000000000027</v>
      </c>
      <c r="AA13" s="39">
        <f>Z13/T13</f>
        <v>2.900391121044351E-2</v>
      </c>
      <c r="AB13" s="73">
        <v>3937.35</v>
      </c>
      <c r="AC13" s="73">
        <v>3937.35</v>
      </c>
      <c r="AD13" s="73"/>
      <c r="AE13" s="39"/>
      <c r="AF13" s="74"/>
      <c r="AG13" s="74"/>
      <c r="AH13" s="75"/>
      <c r="AI13" s="75">
        <f t="shared" si="1"/>
        <v>0</v>
      </c>
      <c r="AJ13" s="32"/>
      <c r="AK13" s="32"/>
      <c r="AL13" s="32"/>
      <c r="AM13" s="33"/>
      <c r="AN13" s="33"/>
      <c r="AO13" s="33"/>
      <c r="AP13" s="34">
        <f t="shared" si="2"/>
        <v>0</v>
      </c>
      <c r="AQ13" s="32">
        <f t="shared" si="3"/>
        <v>0</v>
      </c>
      <c r="AR13" s="32">
        <f t="shared" si="4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>IF(AND(AB13="",AC13=""),T13,IF(AC13="",AB13,AC13))</f>
        <v>3937.35</v>
      </c>
      <c r="BC13" s="45">
        <f>+X13</f>
        <v>3823.2</v>
      </c>
      <c r="BD13" s="45"/>
      <c r="BE13" s="45">
        <f t="shared" si="5"/>
        <v>114.15000000000009</v>
      </c>
      <c r="BF13" s="39">
        <f t="shared" si="6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>+T14-X14</f>
        <v>-43.600000000000364</v>
      </c>
      <c r="AA14" s="39">
        <f>Z14/T14</f>
        <v>-1.1598212385614058E-2</v>
      </c>
      <c r="AB14" s="73">
        <v>3761.06</v>
      </c>
      <c r="AC14" s="73"/>
      <c r="AD14" s="73"/>
      <c r="AE14" s="39"/>
      <c r="AF14" s="74"/>
      <c r="AG14" s="74"/>
      <c r="AH14" s="75"/>
      <c r="AI14" s="75">
        <f t="shared" si="1"/>
        <v>0</v>
      </c>
      <c r="AJ14" s="32"/>
      <c r="AK14" s="32"/>
      <c r="AL14" s="32"/>
      <c r="AM14" s="33"/>
      <c r="AN14" s="33"/>
      <c r="AO14" s="33"/>
      <c r="AP14" s="34">
        <f t="shared" si="2"/>
        <v>0</v>
      </c>
      <c r="AQ14" s="32">
        <f t="shared" si="3"/>
        <v>0</v>
      </c>
      <c r="AR14" s="32">
        <f t="shared" si="4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>IF(AND(AB14="",AC14=""),T14,IF(AC14="",AB14,AC14))</f>
        <v>3761.06</v>
      </c>
      <c r="BC14" s="45">
        <f>+X14</f>
        <v>3802.8</v>
      </c>
      <c r="BD14" s="45"/>
      <c r="BE14" s="45">
        <f t="shared" si="5"/>
        <v>-41.740000000000236</v>
      </c>
      <c r="BF14" s="39">
        <f t="shared" si="6"/>
        <v>-1.1097935156578262E-2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7">+R15-S15</f>
        <v>3915.1</v>
      </c>
      <c r="U15" s="46">
        <v>3921.2</v>
      </c>
      <c r="V15" s="46"/>
      <c r="W15" s="46"/>
      <c r="X15" s="46">
        <v>3799.8</v>
      </c>
      <c r="Y15" s="46"/>
      <c r="Z15" s="46">
        <f>+T15-X15</f>
        <v>115.29999999999973</v>
      </c>
      <c r="AA15" s="39">
        <f>Z15/T15</f>
        <v>2.9450077903501758E-2</v>
      </c>
      <c r="AB15" s="73">
        <v>3915.1</v>
      </c>
      <c r="AC15" s="73"/>
      <c r="AD15" s="73"/>
      <c r="AE15" s="39"/>
      <c r="AF15" s="74"/>
      <c r="AG15" s="74"/>
      <c r="AH15" s="75"/>
      <c r="AI15" s="75">
        <f t="shared" ref="AI15:AI86" si="8">+AG15+AH15</f>
        <v>0</v>
      </c>
      <c r="AJ15" s="32"/>
      <c r="AK15" s="32"/>
      <c r="AL15" s="32"/>
      <c r="AM15" s="33"/>
      <c r="AN15" s="33"/>
      <c r="AO15" s="33"/>
      <c r="AP15" s="34">
        <f t="shared" ref="AP15:AP86" si="9">ROUNDUP((AO15-AM15+(AO15&lt;AM15))*24,0)</f>
        <v>0</v>
      </c>
      <c r="AQ15" s="32">
        <f t="shared" ref="AQ15:AQ86" si="10">IF(AP15&gt;5,(AP15-5),0)</f>
        <v>0</v>
      </c>
      <c r="AR15" s="32">
        <f t="shared" ref="AR15:AR86" si="11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>IF(AND(AB15="",AC15=""),T15,IF(AC15="",AB15,AC15))</f>
        <v>3915.1</v>
      </c>
      <c r="BC15" s="45">
        <f>+X15</f>
        <v>3799.8</v>
      </c>
      <c r="BD15" s="45"/>
      <c r="BE15" s="45">
        <f t="shared" si="5"/>
        <v>115.29999999999973</v>
      </c>
      <c r="BF15" s="39">
        <f t="shared" si="6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2">+R16-S16</f>
        <v>3826.8</v>
      </c>
      <c r="U16" s="46">
        <v>3845.4</v>
      </c>
      <c r="V16" s="46"/>
      <c r="W16" s="46"/>
      <c r="X16" s="46">
        <v>3709.2</v>
      </c>
      <c r="Y16" s="46"/>
      <c r="Z16" s="46">
        <f>+T16-X16</f>
        <v>117.60000000000036</v>
      </c>
      <c r="AA16" s="39">
        <f>Z16/T16</f>
        <v>3.0730636563186045E-2</v>
      </c>
      <c r="AB16" s="73">
        <v>3826.75</v>
      </c>
      <c r="AC16" s="73"/>
      <c r="AD16" s="73"/>
      <c r="AE16" s="39"/>
      <c r="AF16" s="74"/>
      <c r="AG16" s="74"/>
      <c r="AH16" s="75"/>
      <c r="AI16" s="75">
        <f t="shared" ref="AI16:AI17" si="13">+AG16+AH16</f>
        <v>0</v>
      </c>
      <c r="AJ16" s="32"/>
      <c r="AK16" s="32"/>
      <c r="AL16" s="32"/>
      <c r="AM16" s="33"/>
      <c r="AN16" s="33"/>
      <c r="AO16" s="33"/>
      <c r="AP16" s="34">
        <f t="shared" ref="AP16:AP17" si="14">ROUNDUP((AO16-AM16+(AO16&lt;AM16))*24,0)</f>
        <v>0</v>
      </c>
      <c r="AQ16" s="32">
        <f t="shared" ref="AQ16:AQ17" si="15">IF(AP16&gt;5,(AP16-5),0)</f>
        <v>0</v>
      </c>
      <c r="AR16" s="32">
        <f t="shared" ref="AR16:AR17" si="16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>IF(AND(AB16="",AC16=""),T16,IF(AC16="",AB16,AC16))</f>
        <v>3826.75</v>
      </c>
      <c r="BC16" s="45">
        <f>+X16</f>
        <v>3709.2</v>
      </c>
      <c r="BD16" s="45"/>
      <c r="BE16" s="45">
        <f t="shared" ref="BE16:BE17" si="17">+BB16-BC16</f>
        <v>117.55000000000018</v>
      </c>
      <c r="BF16" s="39">
        <f t="shared" ref="BF16:BF17" si="18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2"/>
        <v>3769.4</v>
      </c>
      <c r="U17" s="46">
        <v>3784.4</v>
      </c>
      <c r="V17" s="46"/>
      <c r="W17" s="46"/>
      <c r="X17" s="46">
        <v>3682.6</v>
      </c>
      <c r="Y17" s="46"/>
      <c r="Z17" s="46">
        <f>+T17-X17</f>
        <v>86.800000000000182</v>
      </c>
      <c r="AA17" s="39">
        <f>Z17/T17</f>
        <v>2.3027537539130945E-2</v>
      </c>
      <c r="AB17" s="73">
        <v>3769.4</v>
      </c>
      <c r="AC17" s="73"/>
      <c r="AD17" s="73"/>
      <c r="AE17" s="39"/>
      <c r="AF17" s="74"/>
      <c r="AG17" s="74"/>
      <c r="AH17" s="75"/>
      <c r="AI17" s="75">
        <f t="shared" si="13"/>
        <v>0</v>
      </c>
      <c r="AJ17" s="32"/>
      <c r="AK17" s="32"/>
      <c r="AL17" s="32"/>
      <c r="AM17" s="33"/>
      <c r="AN17" s="33"/>
      <c r="AO17" s="33"/>
      <c r="AP17" s="34">
        <f t="shared" si="14"/>
        <v>0</v>
      </c>
      <c r="AQ17" s="32">
        <f t="shared" si="15"/>
        <v>0</v>
      </c>
      <c r="AR17" s="32">
        <f t="shared" si="16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>IF(AND(AB17="",AC17=""),T17,IF(AC17="",AB17,AC17))</f>
        <v>3769.4</v>
      </c>
      <c r="BC17" s="45">
        <f>+X17</f>
        <v>3682.6</v>
      </c>
      <c r="BD17" s="45"/>
      <c r="BE17" s="45">
        <f t="shared" si="17"/>
        <v>86.800000000000182</v>
      </c>
      <c r="BF17" s="39">
        <f t="shared" si="18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7"/>
        <v>3799.7</v>
      </c>
      <c r="U18" s="46">
        <v>3822.4</v>
      </c>
      <c r="V18" s="46"/>
      <c r="W18" s="46"/>
      <c r="X18" s="46">
        <v>3936.8</v>
      </c>
      <c r="Y18" s="46"/>
      <c r="Z18" s="46">
        <f>+T18-X18</f>
        <v>-137.10000000000036</v>
      </c>
      <c r="AA18" s="39">
        <f>Z18/T18</f>
        <v>-3.6081795931257828E-2</v>
      </c>
      <c r="AB18" s="73">
        <v>3841.65</v>
      </c>
      <c r="AC18" s="73"/>
      <c r="AD18" s="73"/>
      <c r="AE18" s="39"/>
      <c r="AF18" s="74"/>
      <c r="AG18" s="74"/>
      <c r="AH18" s="75"/>
      <c r="AI18" s="75">
        <f t="shared" si="8"/>
        <v>0</v>
      </c>
      <c r="AJ18" s="32"/>
      <c r="AK18" s="32"/>
      <c r="AL18" s="32"/>
      <c r="AM18" s="33"/>
      <c r="AN18" s="33"/>
      <c r="AO18" s="33"/>
      <c r="AP18" s="34">
        <f t="shared" si="9"/>
        <v>0</v>
      </c>
      <c r="AQ18" s="32">
        <f t="shared" si="10"/>
        <v>0</v>
      </c>
      <c r="AR18" s="32">
        <f t="shared" si="11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>IF(AND(AB18="",AC18=""),T18,IF(AC18="",AB18,AC18))</f>
        <v>3841.65</v>
      </c>
      <c r="BC18" s="45">
        <f>+X18</f>
        <v>3936.8</v>
      </c>
      <c r="BD18" s="45"/>
      <c r="BE18" s="45">
        <f t="shared" si="5"/>
        <v>-95.150000000000091</v>
      </c>
      <c r="BF18" s="39">
        <f t="shared" si="6"/>
        <v>-2.476800333190168E-2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7"/>
        <v>3935.6</v>
      </c>
      <c r="U19" s="46">
        <v>3936.4</v>
      </c>
      <c r="V19" s="46"/>
      <c r="W19" s="46"/>
      <c r="X19" s="46">
        <v>3869.6</v>
      </c>
      <c r="Y19" s="46"/>
      <c r="Z19" s="46">
        <f>+T19-X19</f>
        <v>66</v>
      </c>
      <c r="AA19" s="39">
        <f>Z19/T19</f>
        <v>1.6769996950909645E-2</v>
      </c>
      <c r="AB19" s="73">
        <v>3935.6</v>
      </c>
      <c r="AC19" s="73"/>
      <c r="AD19" s="73"/>
      <c r="AE19" s="39"/>
      <c r="AF19" s="74"/>
      <c r="AG19" s="74"/>
      <c r="AH19" s="75"/>
      <c r="AI19" s="75">
        <f t="shared" si="8"/>
        <v>0</v>
      </c>
      <c r="AJ19" s="32"/>
      <c r="AK19" s="32"/>
      <c r="AL19" s="32"/>
      <c r="AM19" s="33"/>
      <c r="AN19" s="33"/>
      <c r="AO19" s="33"/>
      <c r="AP19" s="34">
        <f t="shared" si="9"/>
        <v>0</v>
      </c>
      <c r="AQ19" s="32">
        <f t="shared" si="10"/>
        <v>0</v>
      </c>
      <c r="AR19" s="32">
        <f t="shared" si="11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>IF(AND(AB19="",AC19=""),T19,IF(AC19="",AB19,AC19))</f>
        <v>3935.6</v>
      </c>
      <c r="BC19" s="45">
        <f>+X19</f>
        <v>3869.6</v>
      </c>
      <c r="BD19" s="45"/>
      <c r="BE19" s="45">
        <f t="shared" si="5"/>
        <v>66</v>
      </c>
      <c r="BF19" s="39">
        <f t="shared" si="6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7"/>
        <v>3919.2</v>
      </c>
      <c r="U20" s="46">
        <v>3924.4</v>
      </c>
      <c r="V20" s="46"/>
      <c r="W20" s="46"/>
      <c r="X20" s="46">
        <v>3997.8</v>
      </c>
      <c r="Y20" s="46"/>
      <c r="Z20" s="46">
        <f>+T20-X20</f>
        <v>-78.600000000000364</v>
      </c>
      <c r="AA20" s="39">
        <f>Z20/T20</f>
        <v>-2.0055113288426303E-2</v>
      </c>
      <c r="AB20" s="73">
        <v>3919.15</v>
      </c>
      <c r="AC20" s="73"/>
      <c r="AD20" s="73"/>
      <c r="AE20" s="39"/>
      <c r="AF20" s="74"/>
      <c r="AG20" s="74"/>
      <c r="AH20" s="75"/>
      <c r="AI20" s="75">
        <f t="shared" si="8"/>
        <v>0</v>
      </c>
      <c r="AJ20" s="32"/>
      <c r="AK20" s="32"/>
      <c r="AL20" s="32"/>
      <c r="AM20" s="33"/>
      <c r="AN20" s="33"/>
      <c r="AO20" s="33"/>
      <c r="AP20" s="34">
        <f t="shared" si="9"/>
        <v>0</v>
      </c>
      <c r="AQ20" s="32">
        <f t="shared" si="10"/>
        <v>0</v>
      </c>
      <c r="AR20" s="32">
        <f t="shared" si="11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>IF(AND(AB20="",AC20=""),T20,IF(AC20="",AB20,AC20))</f>
        <v>3919.15</v>
      </c>
      <c r="BC20" s="45">
        <f>+X20</f>
        <v>3997.8</v>
      </c>
      <c r="BD20" s="45"/>
      <c r="BE20" s="45">
        <f t="shared" si="5"/>
        <v>-78.650000000000091</v>
      </c>
      <c r="BF20" s="39">
        <f t="shared" si="6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7"/>
        <v>3754.2</v>
      </c>
      <c r="U21" s="46">
        <v>3803.8</v>
      </c>
      <c r="V21" s="46"/>
      <c r="W21" s="46"/>
      <c r="X21" s="46">
        <v>3729.4</v>
      </c>
      <c r="Y21" s="46"/>
      <c r="Z21" s="46">
        <f>+T21-X21</f>
        <v>24.799999999999727</v>
      </c>
      <c r="AA21" s="39">
        <f>Z21/T21</f>
        <v>6.6059346864843988E-3</v>
      </c>
      <c r="AB21" s="73">
        <v>3766.35</v>
      </c>
      <c r="AC21" s="73"/>
      <c r="AD21" s="73"/>
      <c r="AE21" s="39"/>
      <c r="AF21" s="74"/>
      <c r="AG21" s="74"/>
      <c r="AH21" s="75"/>
      <c r="AI21" s="75">
        <f t="shared" si="8"/>
        <v>0</v>
      </c>
      <c r="AJ21" s="32"/>
      <c r="AK21" s="32"/>
      <c r="AL21" s="32"/>
      <c r="AM21" s="33"/>
      <c r="AN21" s="33"/>
      <c r="AO21" s="33"/>
      <c r="AP21" s="34">
        <f t="shared" si="9"/>
        <v>0</v>
      </c>
      <c r="AQ21" s="32">
        <f t="shared" si="10"/>
        <v>0</v>
      </c>
      <c r="AR21" s="32">
        <f t="shared" si="11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>IF(AND(AB21="",AC21=""),T21,IF(AC21="",AB21,AC21))</f>
        <v>3766.35</v>
      </c>
      <c r="BC21" s="45">
        <f>+X21</f>
        <v>3729.4</v>
      </c>
      <c r="BD21" s="45"/>
      <c r="BE21" s="45">
        <f t="shared" si="5"/>
        <v>36.949999999999818</v>
      </c>
      <c r="BF21" s="39">
        <f t="shared" si="6"/>
        <v>9.8105592948079228E-3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7"/>
        <v>4049.8</v>
      </c>
      <c r="U22" s="46">
        <v>4062.6</v>
      </c>
      <c r="V22" s="46"/>
      <c r="W22" s="46"/>
      <c r="X22" s="46">
        <v>3931.6</v>
      </c>
      <c r="Y22" s="46"/>
      <c r="Z22" s="46">
        <f>+T22-X22</f>
        <v>118.20000000000027</v>
      </c>
      <c r="AA22" s="39">
        <f>Z22/T22</f>
        <v>2.9186626500074146E-2</v>
      </c>
      <c r="AB22" s="73">
        <v>4049.75</v>
      </c>
      <c r="AC22" s="73"/>
      <c r="AD22" s="73"/>
      <c r="AE22" s="39"/>
      <c r="AF22" s="74"/>
      <c r="AG22" s="74"/>
      <c r="AH22" s="75"/>
      <c r="AI22" s="75">
        <f t="shared" si="8"/>
        <v>0</v>
      </c>
      <c r="AJ22" s="32"/>
      <c r="AK22" s="32"/>
      <c r="AL22" s="32"/>
      <c r="AM22" s="33"/>
      <c r="AN22" s="33"/>
      <c r="AO22" s="33"/>
      <c r="AP22" s="34">
        <f t="shared" si="9"/>
        <v>0</v>
      </c>
      <c r="AQ22" s="32">
        <f t="shared" si="10"/>
        <v>0</v>
      </c>
      <c r="AR22" s="32">
        <f t="shared" si="11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>IF(AND(AB22="",AC22=""),T22,IF(AC22="",AB22,AC22))</f>
        <v>4049.75</v>
      </c>
      <c r="BC22" s="45">
        <f>+X22</f>
        <v>3931.6</v>
      </c>
      <c r="BD22" s="45"/>
      <c r="BE22" s="45">
        <f t="shared" si="5"/>
        <v>118.15000000000009</v>
      </c>
      <c r="BF22" s="39">
        <f t="shared" si="6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7"/>
        <v>4044.5</v>
      </c>
      <c r="U23" s="46">
        <v>4060.4</v>
      </c>
      <c r="V23" s="46"/>
      <c r="W23" s="46"/>
      <c r="X23" s="46">
        <v>4171.8</v>
      </c>
      <c r="Y23" s="46"/>
      <c r="Z23" s="46">
        <f>+T23-X23</f>
        <v>-127.30000000000018</v>
      </c>
      <c r="AA23" s="39">
        <f>Z23/T23</f>
        <v>-3.14748423785388E-2</v>
      </c>
      <c r="AB23" s="73">
        <v>4044.5</v>
      </c>
      <c r="AC23" s="73"/>
      <c r="AD23" s="73"/>
      <c r="AE23" s="39"/>
      <c r="AF23" s="74"/>
      <c r="AG23" s="74"/>
      <c r="AH23" s="75"/>
      <c r="AI23" s="75">
        <f t="shared" si="8"/>
        <v>0</v>
      </c>
      <c r="AJ23" s="32"/>
      <c r="AK23" s="32"/>
      <c r="AL23" s="32"/>
      <c r="AM23" s="33"/>
      <c r="AN23" s="33"/>
      <c r="AO23" s="33"/>
      <c r="AP23" s="34">
        <f t="shared" si="9"/>
        <v>0</v>
      </c>
      <c r="AQ23" s="32">
        <f t="shared" si="10"/>
        <v>0</v>
      </c>
      <c r="AR23" s="32">
        <f t="shared" si="11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>IF(AND(AB23="",AC23=""),T23,IF(AC23="",AB23,AC23))</f>
        <v>4044.5</v>
      </c>
      <c r="BC23" s="45">
        <f>+X23</f>
        <v>4171.8</v>
      </c>
      <c r="BD23" s="45"/>
      <c r="BE23" s="45">
        <f t="shared" si="5"/>
        <v>-127.30000000000018</v>
      </c>
      <c r="BF23" s="39">
        <f t="shared" si="6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7"/>
        <v>3714.4</v>
      </c>
      <c r="U24" s="46">
        <v>3718.8</v>
      </c>
      <c r="V24" s="46"/>
      <c r="W24" s="46"/>
      <c r="X24" s="46">
        <v>3789.4</v>
      </c>
      <c r="Y24" s="46"/>
      <c r="Z24" s="46">
        <f>+T24-X24</f>
        <v>-75</v>
      </c>
      <c r="AA24" s="39">
        <f>Z24/T24</f>
        <v>-2.0191686409648933E-2</v>
      </c>
      <c r="AB24" s="73">
        <v>3714.4</v>
      </c>
      <c r="AC24" s="73"/>
      <c r="AD24" s="73"/>
      <c r="AE24" s="39"/>
      <c r="AF24" s="74"/>
      <c r="AG24" s="74"/>
      <c r="AH24" s="75"/>
      <c r="AI24" s="75">
        <f t="shared" si="8"/>
        <v>0</v>
      </c>
      <c r="AJ24" s="32"/>
      <c r="AK24" s="32"/>
      <c r="AL24" s="32"/>
      <c r="AM24" s="33"/>
      <c r="AN24" s="33"/>
      <c r="AO24" s="33"/>
      <c r="AP24" s="34">
        <f t="shared" si="9"/>
        <v>0</v>
      </c>
      <c r="AQ24" s="32">
        <f t="shared" si="10"/>
        <v>0</v>
      </c>
      <c r="AR24" s="32">
        <f t="shared" si="11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>IF(AND(AB24="",AC24=""),T24,IF(AC24="",AB24,AC24))</f>
        <v>3714.4</v>
      </c>
      <c r="BC24" s="45">
        <f>+X24</f>
        <v>3789.4</v>
      </c>
      <c r="BD24" s="45"/>
      <c r="BE24" s="45">
        <f t="shared" si="5"/>
        <v>-75</v>
      </c>
      <c r="BF24" s="39">
        <f t="shared" si="6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7"/>
        <v>3885</v>
      </c>
      <c r="U25" s="46">
        <v>3999.2</v>
      </c>
      <c r="V25" s="46"/>
      <c r="W25" s="46"/>
      <c r="X25" s="46">
        <v>3785.2</v>
      </c>
      <c r="Y25" s="46"/>
      <c r="Z25" s="46">
        <f>+T25-X25</f>
        <v>99.800000000000182</v>
      </c>
      <c r="AA25" s="39">
        <f>Z25/T25</f>
        <v>2.5688545688545734E-2</v>
      </c>
      <c r="AB25" s="73">
        <v>3905.1</v>
      </c>
      <c r="AC25" s="73"/>
      <c r="AD25" s="73"/>
      <c r="AE25" s="39"/>
      <c r="AF25" s="74"/>
      <c r="AG25" s="74"/>
      <c r="AH25" s="75"/>
      <c r="AI25" s="75">
        <f t="shared" si="8"/>
        <v>0</v>
      </c>
      <c r="AJ25" s="32"/>
      <c r="AK25" s="32"/>
      <c r="AL25" s="32"/>
      <c r="AM25" s="33"/>
      <c r="AN25" s="33"/>
      <c r="AO25" s="33"/>
      <c r="AP25" s="34">
        <f t="shared" si="9"/>
        <v>0</v>
      </c>
      <c r="AQ25" s="32">
        <f t="shared" si="10"/>
        <v>0</v>
      </c>
      <c r="AR25" s="32">
        <f t="shared" si="11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>IF(AND(AB25="",AC25=""),T25,IF(AC25="",AB25,AC25))</f>
        <v>3905.1</v>
      </c>
      <c r="BC25" s="45">
        <f>+X25</f>
        <v>3785.2</v>
      </c>
      <c r="BD25" s="45"/>
      <c r="BE25" s="45">
        <f t="shared" si="5"/>
        <v>119.90000000000009</v>
      </c>
      <c r="BF25" s="39">
        <f t="shared" si="6"/>
        <v>3.0703439092468848E-2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7"/>
        <v>3684.6</v>
      </c>
      <c r="U26" s="46">
        <v>3705.2</v>
      </c>
      <c r="V26" s="46"/>
      <c r="W26" s="46"/>
      <c r="X26" s="46">
        <v>3665.8</v>
      </c>
      <c r="Y26" s="46"/>
      <c r="Z26" s="46">
        <f>+T26-X26</f>
        <v>18.799999999999727</v>
      </c>
      <c r="AA26" s="39">
        <f>Z26/T26</f>
        <v>5.1023177549801135E-3</v>
      </c>
      <c r="AB26" s="73">
        <v>3684.6</v>
      </c>
      <c r="AC26" s="73"/>
      <c r="AD26" s="73"/>
      <c r="AE26" s="39"/>
      <c r="AF26" s="74"/>
      <c r="AG26" s="74"/>
      <c r="AH26" s="75"/>
      <c r="AI26" s="75">
        <f t="shared" si="8"/>
        <v>0</v>
      </c>
      <c r="AJ26" s="32"/>
      <c r="AK26" s="32"/>
      <c r="AL26" s="32"/>
      <c r="AM26" s="33"/>
      <c r="AN26" s="33"/>
      <c r="AO26" s="33"/>
      <c r="AP26" s="34">
        <f t="shared" si="9"/>
        <v>0</v>
      </c>
      <c r="AQ26" s="32">
        <f t="shared" si="10"/>
        <v>0</v>
      </c>
      <c r="AR26" s="32">
        <f t="shared" si="11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>IF(AND(AB26="",AC26=""),T26,IF(AC26="",AB26,AC26))</f>
        <v>3684.6</v>
      </c>
      <c r="BC26" s="45">
        <f>+X26</f>
        <v>3665.8</v>
      </c>
      <c r="BD26" s="45"/>
      <c r="BE26" s="45">
        <f t="shared" si="5"/>
        <v>18.799999999999727</v>
      </c>
      <c r="BF26" s="39">
        <f t="shared" si="6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19">+R27-S27</f>
        <v>3910.1</v>
      </c>
      <c r="U27" s="46">
        <v>3918.2</v>
      </c>
      <c r="V27" s="46"/>
      <c r="W27" s="46"/>
      <c r="X27" s="46">
        <v>3988.4</v>
      </c>
      <c r="Y27" s="46"/>
      <c r="Z27" s="46">
        <f>+T27-X27</f>
        <v>-78.300000000000182</v>
      </c>
      <c r="AA27" s="39">
        <f>Z27/T27</f>
        <v>-2.0025063297613919E-2</v>
      </c>
      <c r="AB27" s="73">
        <v>3910.1</v>
      </c>
      <c r="AC27" s="73"/>
      <c r="AD27" s="73"/>
      <c r="AE27" s="39"/>
      <c r="AF27" s="74"/>
      <c r="AG27" s="74"/>
      <c r="AH27" s="75"/>
      <c r="AI27" s="75">
        <f t="shared" ref="AI27:AI35" si="20">+AG27+AH27</f>
        <v>0</v>
      </c>
      <c r="AJ27" s="32"/>
      <c r="AK27" s="32"/>
      <c r="AL27" s="32"/>
      <c r="AM27" s="33"/>
      <c r="AN27" s="33"/>
      <c r="AO27" s="33"/>
      <c r="AP27" s="34">
        <f t="shared" ref="AP27:AP35" si="21">ROUNDUP((AO27-AM27+(AO27&lt;AM27))*24,0)</f>
        <v>0</v>
      </c>
      <c r="AQ27" s="32">
        <f t="shared" ref="AQ27:AQ35" si="22">IF(AP27&gt;5,(AP27-5),0)</f>
        <v>0</v>
      </c>
      <c r="AR27" s="32">
        <f t="shared" ref="AR27:AR35" si="23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>IF(AND(AB27="",AC27=""),T27,IF(AC27="",AB27,AC27))</f>
        <v>3910.1</v>
      </c>
      <c r="BC27" s="45">
        <f>+X27</f>
        <v>3988.4</v>
      </c>
      <c r="BD27" s="45"/>
      <c r="BE27" s="45">
        <f t="shared" ref="BE27:BE35" si="24">+BB27-BC27</f>
        <v>-78.300000000000182</v>
      </c>
      <c r="BF27" s="39">
        <f t="shared" ref="BF27:BF35" si="25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19"/>
        <v>4031</v>
      </c>
      <c r="U28" s="46">
        <v>4050.4</v>
      </c>
      <c r="V28" s="46"/>
      <c r="W28" s="46"/>
      <c r="X28" s="46">
        <v>3923.8</v>
      </c>
      <c r="Y28" s="46"/>
      <c r="Z28" s="46">
        <f>+T28-X28</f>
        <v>107.19999999999982</v>
      </c>
      <c r="AA28" s="39">
        <f>Z28/T28</f>
        <v>2.6593897295956292E-2</v>
      </c>
      <c r="AB28" s="73">
        <v>4030.95</v>
      </c>
      <c r="AC28" s="73"/>
      <c r="AD28" s="73"/>
      <c r="AE28" s="39"/>
      <c r="AF28" s="74"/>
      <c r="AG28" s="74"/>
      <c r="AH28" s="75"/>
      <c r="AI28" s="75">
        <f t="shared" si="20"/>
        <v>0</v>
      </c>
      <c r="AJ28" s="32"/>
      <c r="AK28" s="32"/>
      <c r="AL28" s="32"/>
      <c r="AM28" s="33"/>
      <c r="AN28" s="33"/>
      <c r="AO28" s="33"/>
      <c r="AP28" s="34">
        <f t="shared" si="21"/>
        <v>0</v>
      </c>
      <c r="AQ28" s="32">
        <f t="shared" si="22"/>
        <v>0</v>
      </c>
      <c r="AR28" s="32">
        <f t="shared" si="23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4030.95</v>
      </c>
      <c r="BC28" s="45">
        <f>+X28</f>
        <v>3923.8</v>
      </c>
      <c r="BD28" s="45"/>
      <c r="BE28" s="45">
        <f t="shared" si="24"/>
        <v>107.14999999999964</v>
      </c>
      <c r="BF28" s="39">
        <f t="shared" si="25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19"/>
        <v>3429.5</v>
      </c>
      <c r="U29" s="46">
        <v>3440.8</v>
      </c>
      <c r="V29" s="46"/>
      <c r="W29" s="46"/>
      <c r="X29" s="46">
        <v>3362</v>
      </c>
      <c r="Y29" s="46"/>
      <c r="Z29" s="46">
        <f>+T29-X29</f>
        <v>67.5</v>
      </c>
      <c r="AA29" s="39">
        <f>Z29/T29</f>
        <v>1.9682169412450795E-2</v>
      </c>
      <c r="AB29" s="73">
        <v>3429.45</v>
      </c>
      <c r="AC29" s="73"/>
      <c r="AD29" s="73"/>
      <c r="AE29" s="39"/>
      <c r="AF29" s="74"/>
      <c r="AG29" s="74"/>
      <c r="AH29" s="75"/>
      <c r="AI29" s="75">
        <f t="shared" si="20"/>
        <v>0</v>
      </c>
      <c r="AJ29" s="32"/>
      <c r="AK29" s="32"/>
      <c r="AL29" s="32"/>
      <c r="AM29" s="33"/>
      <c r="AN29" s="33"/>
      <c r="AO29" s="33"/>
      <c r="AP29" s="34">
        <f t="shared" si="21"/>
        <v>0</v>
      </c>
      <c r="AQ29" s="32">
        <f t="shared" si="22"/>
        <v>0</v>
      </c>
      <c r="AR29" s="32">
        <f t="shared" si="23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>IF(AND(AB29="",AC29=""),T29,IF(AC29="",AB29,AC29))</f>
        <v>3429.45</v>
      </c>
      <c r="BC29" s="45">
        <f>+X29</f>
        <v>3362</v>
      </c>
      <c r="BD29" s="45"/>
      <c r="BE29" s="45">
        <f t="shared" si="24"/>
        <v>67.449999999999818</v>
      </c>
      <c r="BF29" s="39">
        <f t="shared" si="25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19"/>
        <v>4078</v>
      </c>
      <c r="U30" s="46">
        <v>4078.2</v>
      </c>
      <c r="V30" s="46"/>
      <c r="W30" s="46"/>
      <c r="X30" s="46">
        <v>4099.8</v>
      </c>
      <c r="Y30" s="46"/>
      <c r="Z30" s="46">
        <f>+T30-X30</f>
        <v>-21.800000000000182</v>
      </c>
      <c r="AA30" s="39">
        <f>Z30/T30</f>
        <v>-5.3457577243747377E-3</v>
      </c>
      <c r="AB30" s="73">
        <v>4077.95</v>
      </c>
      <c r="AC30" s="73"/>
      <c r="AD30" s="73"/>
      <c r="AE30" s="39"/>
      <c r="AF30" s="74"/>
      <c r="AG30" s="74"/>
      <c r="AH30" s="75"/>
      <c r="AI30" s="75">
        <f t="shared" si="20"/>
        <v>0</v>
      </c>
      <c r="AJ30" s="32"/>
      <c r="AK30" s="32"/>
      <c r="AL30" s="32"/>
      <c r="AM30" s="33"/>
      <c r="AN30" s="33"/>
      <c r="AO30" s="33"/>
      <c r="AP30" s="34">
        <f t="shared" si="21"/>
        <v>0</v>
      </c>
      <c r="AQ30" s="32">
        <f t="shared" si="22"/>
        <v>0</v>
      </c>
      <c r="AR30" s="32">
        <f t="shared" si="23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>IF(AND(AB30="",AC30=""),T30,IF(AC30="",AB30,AC30))</f>
        <v>4077.95</v>
      </c>
      <c r="BC30" s="45">
        <f>+X30</f>
        <v>4099.8</v>
      </c>
      <c r="BD30" s="45"/>
      <c r="BE30" s="45">
        <f t="shared" si="24"/>
        <v>-21.850000000000364</v>
      </c>
      <c r="BF30" s="39">
        <f t="shared" si="25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19"/>
        <v>3907.2</v>
      </c>
      <c r="U31" s="46">
        <v>3916.8</v>
      </c>
      <c r="V31" s="46"/>
      <c r="W31" s="46"/>
      <c r="X31" s="46">
        <v>3884.21</v>
      </c>
      <c r="Y31" s="46"/>
      <c r="Z31" s="46">
        <f>+T31-X31</f>
        <v>22.989999999999782</v>
      </c>
      <c r="AA31" s="39">
        <f>Z31/T31</f>
        <v>5.8840090090089532E-3</v>
      </c>
      <c r="AB31" s="73">
        <v>3907.2</v>
      </c>
      <c r="AC31" s="73"/>
      <c r="AD31" s="73"/>
      <c r="AE31" s="39"/>
      <c r="AF31" s="74"/>
      <c r="AG31" s="74"/>
      <c r="AH31" s="75"/>
      <c r="AI31" s="75">
        <f t="shared" si="20"/>
        <v>0</v>
      </c>
      <c r="AJ31" s="32"/>
      <c r="AK31" s="32"/>
      <c r="AL31" s="32"/>
      <c r="AM31" s="33"/>
      <c r="AN31" s="33"/>
      <c r="AO31" s="33"/>
      <c r="AP31" s="34">
        <f t="shared" si="21"/>
        <v>0</v>
      </c>
      <c r="AQ31" s="32">
        <f t="shared" si="22"/>
        <v>0</v>
      </c>
      <c r="AR31" s="32">
        <f t="shared" si="23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>IF(AND(AB31="",AC31=""),T31,IF(AC31="",AB31,AC31))</f>
        <v>3907.2</v>
      </c>
      <c r="BC31" s="45">
        <f>+X31</f>
        <v>3884.21</v>
      </c>
      <c r="BD31" s="45"/>
      <c r="BE31" s="45">
        <f t="shared" si="24"/>
        <v>22.989999999999782</v>
      </c>
      <c r="BF31" s="39">
        <f t="shared" si="25"/>
        <v>5.8840090090089532E-3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19"/>
        <v>3982.3</v>
      </c>
      <c r="U32" s="46">
        <v>3990.4</v>
      </c>
      <c r="V32" s="46"/>
      <c r="W32" s="46"/>
      <c r="X32" s="46">
        <v>3944.4</v>
      </c>
      <c r="Y32" s="46"/>
      <c r="Z32" s="46">
        <f>+T32-X32</f>
        <v>37.900000000000091</v>
      </c>
      <c r="AA32" s="39">
        <f>Z32/T32</f>
        <v>9.5171132260251836E-3</v>
      </c>
      <c r="AB32" s="73">
        <v>3982.3</v>
      </c>
      <c r="AC32" s="73"/>
      <c r="AD32" s="73"/>
      <c r="AE32" s="39"/>
      <c r="AF32" s="74"/>
      <c r="AG32" s="74"/>
      <c r="AH32" s="75"/>
      <c r="AI32" s="75">
        <f t="shared" si="20"/>
        <v>0</v>
      </c>
      <c r="AJ32" s="32"/>
      <c r="AK32" s="32"/>
      <c r="AL32" s="32"/>
      <c r="AM32" s="33"/>
      <c r="AN32" s="33"/>
      <c r="AO32" s="33"/>
      <c r="AP32" s="34">
        <f t="shared" si="21"/>
        <v>0</v>
      </c>
      <c r="AQ32" s="32">
        <f t="shared" si="22"/>
        <v>0</v>
      </c>
      <c r="AR32" s="32">
        <f t="shared" si="23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>IF(AND(AB32="",AC32=""),T32,IF(AC32="",AB32,AC32))</f>
        <v>3982.3</v>
      </c>
      <c r="BC32" s="45">
        <f>+X32</f>
        <v>3944.4</v>
      </c>
      <c r="BD32" s="45"/>
      <c r="BE32" s="45">
        <f t="shared" si="24"/>
        <v>37.900000000000091</v>
      </c>
      <c r="BF32" s="39">
        <f t="shared" si="25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19"/>
        <v>3995.9</v>
      </c>
      <c r="U33" s="46">
        <v>3998.6</v>
      </c>
      <c r="V33" s="46"/>
      <c r="W33" s="46"/>
      <c r="X33" s="46">
        <v>4022.2</v>
      </c>
      <c r="Y33" s="46"/>
      <c r="Z33" s="46">
        <f>+T33-X33</f>
        <v>-26.299999999999727</v>
      </c>
      <c r="AA33" s="39">
        <f>Z33/T33</f>
        <v>-6.5817462899471274E-3</v>
      </c>
      <c r="AB33" s="73">
        <v>4188.25</v>
      </c>
      <c r="AC33" s="73"/>
      <c r="AD33" s="73"/>
      <c r="AE33" s="39"/>
      <c r="AF33" s="74"/>
      <c r="AG33" s="74"/>
      <c r="AH33" s="75"/>
      <c r="AI33" s="75">
        <f t="shared" si="20"/>
        <v>0</v>
      </c>
      <c r="AJ33" s="32"/>
      <c r="AK33" s="32"/>
      <c r="AL33" s="32"/>
      <c r="AM33" s="33"/>
      <c r="AN33" s="33"/>
      <c r="AO33" s="33"/>
      <c r="AP33" s="34">
        <f t="shared" si="21"/>
        <v>0</v>
      </c>
      <c r="AQ33" s="32">
        <f t="shared" si="22"/>
        <v>0</v>
      </c>
      <c r="AR33" s="32">
        <f t="shared" si="23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>IF(AND(AB33="",AC33=""),T33,IF(AC33="",AB33,AC33))</f>
        <v>4188.25</v>
      </c>
      <c r="BC33" s="45">
        <f>+X33</f>
        <v>4022.2</v>
      </c>
      <c r="BD33" s="45"/>
      <c r="BE33" s="45">
        <f t="shared" si="24"/>
        <v>166.05000000000018</v>
      </c>
      <c r="BF33" s="39">
        <f t="shared" si="25"/>
        <v>3.9646630454247045E-2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19"/>
        <v>3551.4</v>
      </c>
      <c r="U34" s="46">
        <v>3569.6</v>
      </c>
      <c r="V34" s="46"/>
      <c r="W34" s="46"/>
      <c r="X34" s="46">
        <v>3585.4</v>
      </c>
      <c r="Y34" s="46"/>
      <c r="Z34" s="46">
        <f>+T34-X34</f>
        <v>-34</v>
      </c>
      <c r="AA34" s="39">
        <f>Z34/T34</f>
        <v>-9.5736892493101314E-3</v>
      </c>
      <c r="AB34" s="73">
        <v>3551.35</v>
      </c>
      <c r="AC34" s="73"/>
      <c r="AD34" s="73"/>
      <c r="AE34" s="39"/>
      <c r="AF34" s="74"/>
      <c r="AG34" s="74"/>
      <c r="AH34" s="75"/>
      <c r="AI34" s="75">
        <f t="shared" si="20"/>
        <v>0</v>
      </c>
      <c r="AJ34" s="32"/>
      <c r="AK34" s="32"/>
      <c r="AL34" s="32"/>
      <c r="AM34" s="33"/>
      <c r="AN34" s="33"/>
      <c r="AO34" s="33"/>
      <c r="AP34" s="34">
        <f t="shared" si="21"/>
        <v>0</v>
      </c>
      <c r="AQ34" s="32">
        <f t="shared" si="22"/>
        <v>0</v>
      </c>
      <c r="AR34" s="32">
        <f t="shared" si="23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>IF(AND(AB34="",AC34=""),T34,IF(AC34="",AB34,AC34))</f>
        <v>3551.35</v>
      </c>
      <c r="BC34" s="45">
        <f>+X34</f>
        <v>3585.4</v>
      </c>
      <c r="BD34" s="45"/>
      <c r="BE34" s="45">
        <f t="shared" si="24"/>
        <v>-34.050000000000182</v>
      </c>
      <c r="BF34" s="39">
        <f t="shared" si="25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19"/>
        <v>3855.5</v>
      </c>
      <c r="U35" s="46">
        <v>3862</v>
      </c>
      <c r="V35" s="46"/>
      <c r="W35" s="46"/>
      <c r="X35" s="46">
        <v>3969</v>
      </c>
      <c r="Y35" s="46"/>
      <c r="Z35" s="46">
        <f>+T35-X35</f>
        <v>-113.5</v>
      </c>
      <c r="AA35" s="39">
        <f>Z35/T35</f>
        <v>-2.9438464531189212E-2</v>
      </c>
      <c r="AB35" s="73">
        <v>3855.45</v>
      </c>
      <c r="AC35" s="73"/>
      <c r="AD35" s="73"/>
      <c r="AE35" s="39"/>
      <c r="AF35" s="74"/>
      <c r="AG35" s="74"/>
      <c r="AH35" s="75"/>
      <c r="AI35" s="75">
        <f t="shared" si="20"/>
        <v>0</v>
      </c>
      <c r="AJ35" s="32"/>
      <c r="AK35" s="32"/>
      <c r="AL35" s="32"/>
      <c r="AM35" s="33"/>
      <c r="AN35" s="33"/>
      <c r="AO35" s="33"/>
      <c r="AP35" s="34">
        <f t="shared" si="21"/>
        <v>0</v>
      </c>
      <c r="AQ35" s="32">
        <f t="shared" si="22"/>
        <v>0</v>
      </c>
      <c r="AR35" s="32">
        <f t="shared" si="23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>IF(AND(AB35="",AC35=""),T35,IF(AC35="",AB35,AC35))</f>
        <v>3855.45</v>
      </c>
      <c r="BC35" s="45">
        <f>+X35</f>
        <v>3969</v>
      </c>
      <c r="BD35" s="45"/>
      <c r="BE35" s="45">
        <f t="shared" si="24"/>
        <v>-113.55000000000018</v>
      </c>
      <c r="BF35" s="39">
        <f t="shared" si="25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7"/>
        <v>3903.1</v>
      </c>
      <c r="U36" s="46">
        <v>3912.8</v>
      </c>
      <c r="V36" s="46"/>
      <c r="W36" s="46"/>
      <c r="X36" s="46">
        <v>3800.4</v>
      </c>
      <c r="Y36" s="46"/>
      <c r="Z36" s="46">
        <f>+T36-X36</f>
        <v>102.69999999999982</v>
      </c>
      <c r="AA36" s="39">
        <f>Z36/T36</f>
        <v>2.6312418334144608E-2</v>
      </c>
      <c r="AB36" s="73">
        <v>3903.05</v>
      </c>
      <c r="AC36" s="73"/>
      <c r="AD36" s="73"/>
      <c r="AE36" s="39"/>
      <c r="AF36" s="74"/>
      <c r="AG36" s="74"/>
      <c r="AH36" s="75"/>
      <c r="AI36" s="75">
        <f t="shared" si="8"/>
        <v>0</v>
      </c>
      <c r="AJ36" s="32"/>
      <c r="AK36" s="32"/>
      <c r="AL36" s="32"/>
      <c r="AM36" s="33"/>
      <c r="AN36" s="33"/>
      <c r="AO36" s="33"/>
      <c r="AP36" s="34">
        <f t="shared" si="9"/>
        <v>0</v>
      </c>
      <c r="AQ36" s="32">
        <f t="shared" si="10"/>
        <v>0</v>
      </c>
      <c r="AR36" s="32">
        <f t="shared" si="11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>IF(AND(AB36="",AC36=""),T36,IF(AC36="",AB36,AC36))</f>
        <v>3903.05</v>
      </c>
      <c r="BC36" s="45">
        <f>+X36</f>
        <v>3800.4</v>
      </c>
      <c r="BD36" s="45"/>
      <c r="BE36" s="45">
        <f t="shared" si="5"/>
        <v>102.65000000000009</v>
      </c>
      <c r="BF36" s="39">
        <f t="shared" si="6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7"/>
        <v>3841.9</v>
      </c>
      <c r="U37" s="46">
        <v>3854.8</v>
      </c>
      <c r="V37" s="46"/>
      <c r="W37" s="46"/>
      <c r="X37" s="46">
        <v>3788.6</v>
      </c>
      <c r="Y37" s="46"/>
      <c r="Z37" s="46">
        <f>+T37-X37</f>
        <v>53.300000000000182</v>
      </c>
      <c r="AA37" s="39">
        <f>Z37/T37</f>
        <v>1.3873343918373769E-2</v>
      </c>
      <c r="AB37" s="73">
        <v>3841.85</v>
      </c>
      <c r="AC37" s="73"/>
      <c r="AD37" s="73"/>
      <c r="AE37" s="39"/>
      <c r="AF37" s="74"/>
      <c r="AG37" s="74"/>
      <c r="AH37" s="75"/>
      <c r="AI37" s="75">
        <f t="shared" si="8"/>
        <v>0</v>
      </c>
      <c r="AJ37" s="32"/>
      <c r="AK37" s="32"/>
      <c r="AL37" s="32"/>
      <c r="AM37" s="33"/>
      <c r="AN37" s="33"/>
      <c r="AO37" s="33"/>
      <c r="AP37" s="34">
        <f t="shared" si="9"/>
        <v>0</v>
      </c>
      <c r="AQ37" s="32">
        <f t="shared" si="10"/>
        <v>0</v>
      </c>
      <c r="AR37" s="32">
        <f t="shared" si="11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>IF(AND(AB37="",AC37=""),T37,IF(AC37="",AB37,AC37))</f>
        <v>3841.85</v>
      </c>
      <c r="BC37" s="45">
        <f>+X37</f>
        <v>3788.6</v>
      </c>
      <c r="BD37" s="45"/>
      <c r="BE37" s="45">
        <f t="shared" si="5"/>
        <v>53.25</v>
      </c>
      <c r="BF37" s="39">
        <f t="shared" si="6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7"/>
        <v>3934</v>
      </c>
      <c r="U38" s="46">
        <v>3957.4</v>
      </c>
      <c r="V38" s="46"/>
      <c r="W38" s="46"/>
      <c r="X38" s="46">
        <v>4142</v>
      </c>
      <c r="Y38" s="46"/>
      <c r="Z38" s="46">
        <f>+T38-X38</f>
        <v>-208</v>
      </c>
      <c r="AA38" s="39">
        <f>Z38/T38</f>
        <v>-5.2872394509405188E-2</v>
      </c>
      <c r="AB38" s="73">
        <v>4057.01</v>
      </c>
      <c r="AC38" s="73"/>
      <c r="AD38" s="73"/>
      <c r="AE38" s="39"/>
      <c r="AF38" s="74"/>
      <c r="AG38" s="74"/>
      <c r="AH38" s="75"/>
      <c r="AI38" s="75">
        <f t="shared" si="8"/>
        <v>0</v>
      </c>
      <c r="AJ38" s="32"/>
      <c r="AK38" s="32"/>
      <c r="AL38" s="32"/>
      <c r="AM38" s="33"/>
      <c r="AN38" s="33"/>
      <c r="AO38" s="33"/>
      <c r="AP38" s="34">
        <f t="shared" si="9"/>
        <v>0</v>
      </c>
      <c r="AQ38" s="32">
        <f t="shared" si="10"/>
        <v>0</v>
      </c>
      <c r="AR38" s="32">
        <f t="shared" si="11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>IF(AND(AB38="",AC38=""),T38,IF(AC38="",AB38,AC38))</f>
        <v>4057.01</v>
      </c>
      <c r="BC38" s="45">
        <f>+X38</f>
        <v>4142</v>
      </c>
      <c r="BD38" s="45"/>
      <c r="BE38" s="45">
        <f t="shared" si="5"/>
        <v>-84.989999999999782</v>
      </c>
      <c r="BF38" s="39">
        <f t="shared" si="6"/>
        <v>-2.0948925440164006E-2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7"/>
        <v>3973.8</v>
      </c>
      <c r="U39" s="46">
        <v>3990.4</v>
      </c>
      <c r="V39" s="46"/>
      <c r="W39" s="46"/>
      <c r="X39" s="46">
        <v>3862.8</v>
      </c>
      <c r="Y39" s="46"/>
      <c r="Z39" s="46">
        <f>+T39-X39</f>
        <v>111</v>
      </c>
      <c r="AA39" s="39">
        <f>Z39/T39</f>
        <v>2.7932960893854747E-2</v>
      </c>
      <c r="AB39" s="73">
        <v>3973.75</v>
      </c>
      <c r="AC39" s="73"/>
      <c r="AD39" s="73"/>
      <c r="AE39" s="39"/>
      <c r="AF39" s="74"/>
      <c r="AG39" s="74"/>
      <c r="AH39" s="75"/>
      <c r="AI39" s="75">
        <f t="shared" si="8"/>
        <v>0</v>
      </c>
      <c r="AJ39" s="32"/>
      <c r="AK39" s="32"/>
      <c r="AL39" s="32"/>
      <c r="AM39" s="33"/>
      <c r="AN39" s="33"/>
      <c r="AO39" s="33"/>
      <c r="AP39" s="34">
        <f t="shared" si="9"/>
        <v>0</v>
      </c>
      <c r="AQ39" s="32">
        <f t="shared" si="10"/>
        <v>0</v>
      </c>
      <c r="AR39" s="32">
        <f t="shared" si="11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>IF(AND(AB39="",AC39=""),T39,IF(AC39="",AB39,AC39))</f>
        <v>3973.75</v>
      </c>
      <c r="BC39" s="45">
        <f>+X39</f>
        <v>3862.8</v>
      </c>
      <c r="BD39" s="45"/>
      <c r="BE39" s="45">
        <f t="shared" si="5"/>
        <v>110.94999999999982</v>
      </c>
      <c r="BF39" s="39">
        <f t="shared" si="6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7"/>
        <v>3737.7</v>
      </c>
      <c r="U40" s="46">
        <v>3753.6</v>
      </c>
      <c r="V40" s="46"/>
      <c r="W40" s="46"/>
      <c r="X40" s="46">
        <v>3936</v>
      </c>
      <c r="Y40" s="46"/>
      <c r="Z40" s="46">
        <f>+T40-X40</f>
        <v>-198.30000000000018</v>
      </c>
      <c r="AA40" s="39">
        <f>Z40/T40</f>
        <v>-5.3054017176338439E-2</v>
      </c>
      <c r="AB40" s="73">
        <v>3765.15</v>
      </c>
      <c r="AC40" s="73"/>
      <c r="AD40" s="73"/>
      <c r="AE40" s="39"/>
      <c r="AF40" s="74"/>
      <c r="AG40" s="74"/>
      <c r="AH40" s="75"/>
      <c r="AI40" s="75">
        <f t="shared" si="8"/>
        <v>0</v>
      </c>
      <c r="AJ40" s="32"/>
      <c r="AK40" s="32"/>
      <c r="AL40" s="32"/>
      <c r="AM40" s="33"/>
      <c r="AN40" s="33"/>
      <c r="AO40" s="33"/>
      <c r="AP40" s="34">
        <f t="shared" si="9"/>
        <v>0</v>
      </c>
      <c r="AQ40" s="32">
        <f t="shared" si="10"/>
        <v>0</v>
      </c>
      <c r="AR40" s="32">
        <f t="shared" si="11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>IF(AND(AB40="",AC40=""),T40,IF(AC40="",AB40,AC40))</f>
        <v>3765.15</v>
      </c>
      <c r="BC40" s="45">
        <f>+X40</f>
        <v>3936</v>
      </c>
      <c r="BD40" s="45"/>
      <c r="BE40" s="45">
        <f t="shared" si="5"/>
        <v>-170.84999999999991</v>
      </c>
      <c r="BF40" s="39">
        <f t="shared" si="6"/>
        <v>-4.5376678219991209E-2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7"/>
        <v>3785.3</v>
      </c>
      <c r="U41" s="46">
        <v>3787.8</v>
      </c>
      <c r="V41" s="46"/>
      <c r="W41" s="46"/>
      <c r="X41" s="46">
        <v>3668.8</v>
      </c>
      <c r="Y41" s="46"/>
      <c r="Z41" s="46">
        <f>+T41-X41</f>
        <v>116.5</v>
      </c>
      <c r="AA41" s="39">
        <f>Z41/T41</f>
        <v>3.0776952949568063E-2</v>
      </c>
      <c r="AB41" s="73">
        <v>3785.25</v>
      </c>
      <c r="AC41" s="73"/>
      <c r="AD41" s="73"/>
      <c r="AE41" s="39"/>
      <c r="AF41" s="74"/>
      <c r="AG41" s="74"/>
      <c r="AH41" s="75"/>
      <c r="AI41" s="75">
        <f t="shared" si="8"/>
        <v>0</v>
      </c>
      <c r="AJ41" s="32"/>
      <c r="AK41" s="32"/>
      <c r="AL41" s="32"/>
      <c r="AM41" s="33"/>
      <c r="AN41" s="33"/>
      <c r="AO41" s="33"/>
      <c r="AP41" s="34">
        <f t="shared" si="9"/>
        <v>0</v>
      </c>
      <c r="AQ41" s="32">
        <f t="shared" si="10"/>
        <v>0</v>
      </c>
      <c r="AR41" s="32">
        <f t="shared" si="11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>IF(AND(AB41="",AC41=""),T41,IF(AC41="",AB41,AC41))</f>
        <v>3785.25</v>
      </c>
      <c r="BC41" s="45">
        <f>+X41</f>
        <v>3668.8</v>
      </c>
      <c r="BD41" s="45"/>
      <c r="BE41" s="45">
        <f t="shared" si="5"/>
        <v>116.44999999999982</v>
      </c>
      <c r="BF41" s="39">
        <f t="shared" si="6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7"/>
        <v>3692.5</v>
      </c>
      <c r="U42" s="46">
        <v>3711</v>
      </c>
      <c r="V42" s="46"/>
      <c r="W42" s="46"/>
      <c r="X42" s="46">
        <v>3548.4</v>
      </c>
      <c r="Y42" s="46"/>
      <c r="Z42" s="46">
        <f>+T42-X42</f>
        <v>144.09999999999991</v>
      </c>
      <c r="AA42" s="39">
        <f>Z42/T42</f>
        <v>3.9025050778605255E-2</v>
      </c>
      <c r="AB42" s="73">
        <v>3692.5</v>
      </c>
      <c r="AC42" s="73"/>
      <c r="AD42" s="73"/>
      <c r="AE42" s="39"/>
      <c r="AF42" s="74"/>
      <c r="AG42" s="74"/>
      <c r="AH42" s="75"/>
      <c r="AI42" s="75">
        <f t="shared" si="8"/>
        <v>0</v>
      </c>
      <c r="AJ42" s="32"/>
      <c r="AK42" s="32"/>
      <c r="AL42" s="32"/>
      <c r="AM42" s="33"/>
      <c r="AN42" s="33"/>
      <c r="AO42" s="33"/>
      <c r="AP42" s="34">
        <f t="shared" si="9"/>
        <v>0</v>
      </c>
      <c r="AQ42" s="32">
        <f t="shared" si="10"/>
        <v>0</v>
      </c>
      <c r="AR42" s="32">
        <f t="shared" si="11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>IF(AND(AB42="",AC42=""),T42,IF(AC42="",AB42,AC42))</f>
        <v>3692.5</v>
      </c>
      <c r="BC42" s="45">
        <f>+X42</f>
        <v>3548.4</v>
      </c>
      <c r="BD42" s="45"/>
      <c r="BE42" s="45">
        <f t="shared" si="5"/>
        <v>144.09999999999991</v>
      </c>
      <c r="BF42" s="39">
        <f t="shared" si="6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7"/>
        <v>3738.9</v>
      </c>
      <c r="U43" s="46">
        <v>3788.4</v>
      </c>
      <c r="V43" s="46"/>
      <c r="W43" s="46"/>
      <c r="X43" s="46">
        <v>3763</v>
      </c>
      <c r="Y43" s="46"/>
      <c r="Z43" s="46">
        <f>+T43-X43</f>
        <v>-24.099999999999909</v>
      </c>
      <c r="AA43" s="39">
        <f>Z43/T43</f>
        <v>-6.4457460750487871E-3</v>
      </c>
      <c r="AB43" s="73">
        <v>3770.26</v>
      </c>
      <c r="AC43" s="73"/>
      <c r="AD43" s="73"/>
      <c r="AE43" s="39"/>
      <c r="AF43" s="74"/>
      <c r="AG43" s="74"/>
      <c r="AH43" s="75"/>
      <c r="AI43" s="75">
        <f t="shared" si="8"/>
        <v>0</v>
      </c>
      <c r="AJ43" s="32"/>
      <c r="AK43" s="32"/>
      <c r="AL43" s="32"/>
      <c r="AM43" s="33"/>
      <c r="AN43" s="33"/>
      <c r="AO43" s="33"/>
      <c r="AP43" s="34">
        <f t="shared" si="9"/>
        <v>0</v>
      </c>
      <c r="AQ43" s="32">
        <f t="shared" si="10"/>
        <v>0</v>
      </c>
      <c r="AR43" s="32">
        <f t="shared" si="11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>IF(AND(AB43="",AC43=""),T43,IF(AC43="",AB43,AC43))</f>
        <v>3770.26</v>
      </c>
      <c r="BC43" s="45">
        <f>+X43</f>
        <v>3763</v>
      </c>
      <c r="BD43" s="45"/>
      <c r="BE43" s="45">
        <f t="shared" si="5"/>
        <v>7.2600000000002183</v>
      </c>
      <c r="BF43" s="39">
        <f t="shared" si="6"/>
        <v>1.9255966432023834E-3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7"/>
        <v>3874.6</v>
      </c>
      <c r="U44" s="46">
        <v>3904.6</v>
      </c>
      <c r="V44" s="46"/>
      <c r="W44" s="46"/>
      <c r="X44" s="46">
        <v>3772</v>
      </c>
      <c r="Y44" s="46"/>
      <c r="Z44" s="46">
        <f>+T44-X44</f>
        <v>102.59999999999991</v>
      </c>
      <c r="AA44" s="39">
        <f>Z44/T44</f>
        <v>2.6480152789965392E-2</v>
      </c>
      <c r="AB44" s="73">
        <v>3874.6</v>
      </c>
      <c r="AC44" s="73"/>
      <c r="AD44" s="73"/>
      <c r="AE44" s="39"/>
      <c r="AF44" s="74"/>
      <c r="AG44" s="74"/>
      <c r="AH44" s="75"/>
      <c r="AI44" s="75">
        <f t="shared" si="8"/>
        <v>0</v>
      </c>
      <c r="AJ44" s="32"/>
      <c r="AK44" s="32"/>
      <c r="AL44" s="32"/>
      <c r="AM44" s="33"/>
      <c r="AN44" s="33"/>
      <c r="AO44" s="33"/>
      <c r="AP44" s="34">
        <f t="shared" si="9"/>
        <v>0</v>
      </c>
      <c r="AQ44" s="32">
        <f t="shared" si="10"/>
        <v>0</v>
      </c>
      <c r="AR44" s="32">
        <f t="shared" si="11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>IF(AND(AB44="",AC44=""),T44,IF(AC44="",AB44,AC44))</f>
        <v>3874.6</v>
      </c>
      <c r="BC44" s="45">
        <f>+X44</f>
        <v>3772</v>
      </c>
      <c r="BD44" s="45"/>
      <c r="BE44" s="45">
        <f t="shared" si="5"/>
        <v>102.59999999999991</v>
      </c>
      <c r="BF44" s="39">
        <f t="shared" si="6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7"/>
        <v>3929.5</v>
      </c>
      <c r="U45" s="46">
        <v>3932</v>
      </c>
      <c r="V45" s="46"/>
      <c r="W45" s="46"/>
      <c r="X45" s="46">
        <v>3857.6</v>
      </c>
      <c r="Y45" s="46"/>
      <c r="Z45" s="46">
        <f>+T45-X45</f>
        <v>71.900000000000091</v>
      </c>
      <c r="AA45" s="39">
        <f>Z45/T45</f>
        <v>1.8297493319760806E-2</v>
      </c>
      <c r="AB45" s="73">
        <v>3929.5</v>
      </c>
      <c r="AC45" s="73"/>
      <c r="AD45" s="73"/>
      <c r="AE45" s="39"/>
      <c r="AF45" s="74"/>
      <c r="AG45" s="74"/>
      <c r="AH45" s="75"/>
      <c r="AI45" s="75">
        <f t="shared" si="8"/>
        <v>0</v>
      </c>
      <c r="AJ45" s="32"/>
      <c r="AK45" s="32"/>
      <c r="AL45" s="32"/>
      <c r="AM45" s="33"/>
      <c r="AN45" s="33"/>
      <c r="AO45" s="33"/>
      <c r="AP45" s="34">
        <f t="shared" si="9"/>
        <v>0</v>
      </c>
      <c r="AQ45" s="32">
        <f t="shared" si="10"/>
        <v>0</v>
      </c>
      <c r="AR45" s="32">
        <f t="shared" si="11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>IF(AND(AB45="",AC45=""),T45,IF(AC45="",AB45,AC45))</f>
        <v>3929.5</v>
      </c>
      <c r="BC45" s="45">
        <f>+X45</f>
        <v>3857.6</v>
      </c>
      <c r="BD45" s="45"/>
      <c r="BE45" s="45">
        <f t="shared" si="5"/>
        <v>71.900000000000091</v>
      </c>
      <c r="BF45" s="39">
        <f t="shared" si="6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7"/>
        <v>3818.8</v>
      </c>
      <c r="U46" s="46">
        <v>3840.8</v>
      </c>
      <c r="V46" s="46"/>
      <c r="W46" s="46"/>
      <c r="X46" s="46">
        <v>3734.4</v>
      </c>
      <c r="Y46" s="46"/>
      <c r="Z46" s="46">
        <f>+T46-X46</f>
        <v>84.400000000000091</v>
      </c>
      <c r="AA46" s="39">
        <f>Z46/T46</f>
        <v>2.2101183617890461E-2</v>
      </c>
      <c r="AB46" s="73">
        <v>3818.8</v>
      </c>
      <c r="AC46" s="73"/>
      <c r="AD46" s="73"/>
      <c r="AE46" s="39"/>
      <c r="AF46" s="74"/>
      <c r="AG46" s="74"/>
      <c r="AH46" s="75"/>
      <c r="AI46" s="75">
        <f t="shared" si="8"/>
        <v>0</v>
      </c>
      <c r="AJ46" s="32"/>
      <c r="AK46" s="32"/>
      <c r="AL46" s="32"/>
      <c r="AM46" s="33"/>
      <c r="AN46" s="33"/>
      <c r="AO46" s="33"/>
      <c r="AP46" s="34">
        <f t="shared" si="9"/>
        <v>0</v>
      </c>
      <c r="AQ46" s="32">
        <f t="shared" si="10"/>
        <v>0</v>
      </c>
      <c r="AR46" s="32">
        <f t="shared" si="11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>IF(AND(AB46="",AC46=""),T46,IF(AC46="",AB46,AC46))</f>
        <v>3818.8</v>
      </c>
      <c r="BC46" s="45">
        <f>+X46</f>
        <v>3734.4</v>
      </c>
      <c r="BD46" s="45"/>
      <c r="BE46" s="45">
        <f t="shared" si="5"/>
        <v>84.400000000000091</v>
      </c>
      <c r="BF46" s="39">
        <f t="shared" si="6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7"/>
        <v>3992.3</v>
      </c>
      <c r="U47" s="46">
        <v>3996.8</v>
      </c>
      <c r="V47" s="46"/>
      <c r="W47" s="46"/>
      <c r="X47" s="46">
        <v>3907.2</v>
      </c>
      <c r="Y47" s="46"/>
      <c r="Z47" s="46">
        <f>+T47-X47</f>
        <v>85.100000000000364</v>
      </c>
      <c r="AA47" s="39">
        <f>Z47/T47</f>
        <v>2.1316033364226227E-2</v>
      </c>
      <c r="AB47" s="73">
        <v>3992.25</v>
      </c>
      <c r="AC47" s="73"/>
      <c r="AD47" s="73"/>
      <c r="AE47" s="39"/>
      <c r="AF47" s="74"/>
      <c r="AG47" s="74"/>
      <c r="AH47" s="75"/>
      <c r="AI47" s="75">
        <f t="shared" si="8"/>
        <v>0</v>
      </c>
      <c r="AJ47" s="32"/>
      <c r="AK47" s="32"/>
      <c r="AL47" s="32"/>
      <c r="AM47" s="33"/>
      <c r="AN47" s="33"/>
      <c r="AO47" s="33"/>
      <c r="AP47" s="34">
        <f t="shared" si="9"/>
        <v>0</v>
      </c>
      <c r="AQ47" s="32">
        <f t="shared" si="10"/>
        <v>0</v>
      </c>
      <c r="AR47" s="32">
        <f t="shared" si="11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>IF(AND(AB47="",AC47=""),T47,IF(AC47="",AB47,AC47))</f>
        <v>3992.25</v>
      </c>
      <c r="BC47" s="45">
        <f>+X47</f>
        <v>3907.2</v>
      </c>
      <c r="BD47" s="45"/>
      <c r="BE47" s="45">
        <f t="shared" si="5"/>
        <v>85.050000000000182</v>
      </c>
      <c r="BF47" s="39">
        <f t="shared" si="6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7"/>
        <v>3959.3</v>
      </c>
      <c r="U48" s="46">
        <v>4032.2</v>
      </c>
      <c r="V48" s="46"/>
      <c r="W48" s="46"/>
      <c r="X48" s="46">
        <v>3892</v>
      </c>
      <c r="Y48" s="46"/>
      <c r="Z48" s="46">
        <f>+T48-X48</f>
        <v>67.300000000000182</v>
      </c>
      <c r="AA48" s="39">
        <f>Z48/T48</f>
        <v>1.6997954183820416E-2</v>
      </c>
      <c r="AB48" s="73">
        <v>3964.47</v>
      </c>
      <c r="AC48" s="73"/>
      <c r="AD48" s="73"/>
      <c r="AE48" s="39"/>
      <c r="AF48" s="74"/>
      <c r="AG48" s="74"/>
      <c r="AH48" s="75"/>
      <c r="AI48" s="75">
        <f t="shared" si="8"/>
        <v>0</v>
      </c>
      <c r="AJ48" s="32"/>
      <c r="AK48" s="32"/>
      <c r="AL48" s="32"/>
      <c r="AM48" s="33"/>
      <c r="AN48" s="33"/>
      <c r="AO48" s="33"/>
      <c r="AP48" s="34">
        <f t="shared" si="9"/>
        <v>0</v>
      </c>
      <c r="AQ48" s="32">
        <f t="shared" si="10"/>
        <v>0</v>
      </c>
      <c r="AR48" s="32">
        <f t="shared" si="11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>IF(AND(AB48="",AC48=""),T48,IF(AC48="",AB48,AC48))</f>
        <v>3964.47</v>
      </c>
      <c r="BC48" s="45">
        <f>+X48</f>
        <v>3892</v>
      </c>
      <c r="BD48" s="45"/>
      <c r="BE48" s="45">
        <f t="shared" si="5"/>
        <v>72.4699999999998</v>
      </c>
      <c r="BF48" s="39">
        <f t="shared" si="6"/>
        <v>1.8279870953746606E-2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7"/>
        <v>3817.2</v>
      </c>
      <c r="U49" s="46">
        <v>3841.8</v>
      </c>
      <c r="V49" s="46"/>
      <c r="W49" s="46"/>
      <c r="X49" s="46">
        <v>3735.4</v>
      </c>
      <c r="Y49" s="46"/>
      <c r="Z49" s="46">
        <f>+T49-X49</f>
        <v>81.799999999999727</v>
      </c>
      <c r="AA49" s="39">
        <f>Z49/T49</f>
        <v>2.1429319920360405E-2</v>
      </c>
      <c r="AB49" s="73">
        <v>3817.2</v>
      </c>
      <c r="AC49" s="73"/>
      <c r="AD49" s="73"/>
      <c r="AE49" s="39"/>
      <c r="AF49" s="74"/>
      <c r="AG49" s="74"/>
      <c r="AH49" s="75"/>
      <c r="AI49" s="75">
        <f t="shared" si="8"/>
        <v>0</v>
      </c>
      <c r="AJ49" s="32"/>
      <c r="AK49" s="32"/>
      <c r="AL49" s="32"/>
      <c r="AM49" s="33"/>
      <c r="AN49" s="33"/>
      <c r="AO49" s="33"/>
      <c r="AP49" s="34">
        <f t="shared" si="9"/>
        <v>0</v>
      </c>
      <c r="AQ49" s="32">
        <f t="shared" si="10"/>
        <v>0</v>
      </c>
      <c r="AR49" s="32">
        <f t="shared" si="11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>IF(AND(AB49="",AC49=""),T49,IF(AC49="",AB49,AC49))</f>
        <v>3817.2</v>
      </c>
      <c r="BC49" s="45">
        <f>+X49</f>
        <v>3735.4</v>
      </c>
      <c r="BD49" s="45"/>
      <c r="BE49" s="45">
        <f t="shared" si="5"/>
        <v>81.799999999999727</v>
      </c>
      <c r="BF49" s="39">
        <f t="shared" si="6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7"/>
        <v>3953.4</v>
      </c>
      <c r="U50" s="46">
        <v>3978.2</v>
      </c>
      <c r="V50" s="46"/>
      <c r="W50" s="46"/>
      <c r="X50" s="46">
        <v>3823.6</v>
      </c>
      <c r="Y50" s="46"/>
      <c r="Z50" s="46">
        <f>+T50-X50</f>
        <v>129.80000000000018</v>
      </c>
      <c r="AA50" s="39">
        <f>Z50/T50</f>
        <v>3.2832498608792476E-2</v>
      </c>
      <c r="AB50" s="73">
        <v>3953.4</v>
      </c>
      <c r="AC50" s="73"/>
      <c r="AD50" s="73"/>
      <c r="AE50" s="39"/>
      <c r="AF50" s="74"/>
      <c r="AG50" s="74"/>
      <c r="AH50" s="75"/>
      <c r="AI50" s="75">
        <f t="shared" si="8"/>
        <v>0</v>
      </c>
      <c r="AJ50" s="32"/>
      <c r="AK50" s="32"/>
      <c r="AL50" s="32"/>
      <c r="AM50" s="33"/>
      <c r="AN50" s="33"/>
      <c r="AO50" s="33"/>
      <c r="AP50" s="34">
        <f t="shared" si="9"/>
        <v>0</v>
      </c>
      <c r="AQ50" s="32">
        <f t="shared" si="10"/>
        <v>0</v>
      </c>
      <c r="AR50" s="32">
        <f t="shared" si="11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>IF(AND(AB50="",AC50=""),T50,IF(AC50="",AB50,AC50))</f>
        <v>3953.4</v>
      </c>
      <c r="BC50" s="45">
        <f>+X50</f>
        <v>3823.6</v>
      </c>
      <c r="BD50" s="45"/>
      <c r="BE50" s="45">
        <f t="shared" si="5"/>
        <v>129.80000000000018</v>
      </c>
      <c r="BF50" s="39">
        <f t="shared" si="6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7"/>
        <v>3909.2</v>
      </c>
      <c r="U51" s="46">
        <v>3917.6</v>
      </c>
      <c r="V51" s="46"/>
      <c r="W51" s="46"/>
      <c r="X51" s="46">
        <v>3955.2</v>
      </c>
      <c r="Y51" s="46"/>
      <c r="Z51" s="46">
        <f>+T51-X51</f>
        <v>-46</v>
      </c>
      <c r="AA51" s="39">
        <f>Z51/T51</f>
        <v>-1.1767113475902998E-2</v>
      </c>
      <c r="AB51" s="73">
        <v>3909.2</v>
      </c>
      <c r="AC51" s="73"/>
      <c r="AD51" s="73"/>
      <c r="AE51" s="39"/>
      <c r="AF51" s="74"/>
      <c r="AG51" s="74"/>
      <c r="AH51" s="75"/>
      <c r="AI51" s="75">
        <f t="shared" si="8"/>
        <v>0</v>
      </c>
      <c r="AJ51" s="32"/>
      <c r="AK51" s="32"/>
      <c r="AL51" s="32"/>
      <c r="AM51" s="33"/>
      <c r="AN51" s="33"/>
      <c r="AO51" s="33"/>
      <c r="AP51" s="34">
        <f t="shared" si="9"/>
        <v>0</v>
      </c>
      <c r="AQ51" s="32">
        <f t="shared" si="10"/>
        <v>0</v>
      </c>
      <c r="AR51" s="32">
        <f t="shared" si="11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>IF(AND(AB51="",AC51=""),T51,IF(AC51="",AB51,AC51))</f>
        <v>3909.2</v>
      </c>
      <c r="BC51" s="45">
        <f>+X51</f>
        <v>3955.2</v>
      </c>
      <c r="BD51" s="45"/>
      <c r="BE51" s="45">
        <f t="shared" si="5"/>
        <v>-46</v>
      </c>
      <c r="BF51" s="39">
        <f t="shared" si="6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7"/>
        <v>3912.4</v>
      </c>
      <c r="U52" s="46">
        <v>3923.4</v>
      </c>
      <c r="V52" s="46"/>
      <c r="W52" s="46"/>
      <c r="X52" s="46">
        <v>3769.4</v>
      </c>
      <c r="Y52" s="46"/>
      <c r="Z52" s="46">
        <f>+T52-X52</f>
        <v>143</v>
      </c>
      <c r="AA52" s="39">
        <f>Z52/T52</f>
        <v>3.655045496370514E-2</v>
      </c>
      <c r="AB52" s="73">
        <v>3912.35</v>
      </c>
      <c r="AC52" s="73"/>
      <c r="AD52" s="73"/>
      <c r="AE52" s="39"/>
      <c r="AF52" s="74"/>
      <c r="AG52" s="74"/>
      <c r="AH52" s="75"/>
      <c r="AI52" s="75">
        <f t="shared" si="8"/>
        <v>0</v>
      </c>
      <c r="AJ52" s="32"/>
      <c r="AK52" s="32"/>
      <c r="AL52" s="32"/>
      <c r="AM52" s="33"/>
      <c r="AN52" s="33"/>
      <c r="AO52" s="33"/>
      <c r="AP52" s="34">
        <f t="shared" si="9"/>
        <v>0</v>
      </c>
      <c r="AQ52" s="32">
        <f t="shared" si="10"/>
        <v>0</v>
      </c>
      <c r="AR52" s="32">
        <f t="shared" si="11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>IF(AND(AB52="",AC52=""),T52,IF(AC52="",AB52,AC52))</f>
        <v>3912.35</v>
      </c>
      <c r="BC52" s="45">
        <f>+X52</f>
        <v>3769.4</v>
      </c>
      <c r="BD52" s="45"/>
      <c r="BE52" s="45">
        <f t="shared" si="5"/>
        <v>142.94999999999982</v>
      </c>
      <c r="BF52" s="39">
        <f t="shared" si="6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7"/>
        <v>3496.1</v>
      </c>
      <c r="U53" s="46">
        <v>3595</v>
      </c>
      <c r="V53" s="46"/>
      <c r="W53" s="46"/>
      <c r="X53" s="46">
        <v>3541.8</v>
      </c>
      <c r="Y53" s="46"/>
      <c r="Z53" s="46">
        <f>+T53-X53</f>
        <v>-45.700000000000273</v>
      </c>
      <c r="AA53" s="39">
        <f>Z53/T53</f>
        <v>-1.3071708475158112E-2</v>
      </c>
      <c r="AB53" s="73">
        <v>3516.31</v>
      </c>
      <c r="AC53" s="73"/>
      <c r="AD53" s="73"/>
      <c r="AE53" s="39"/>
      <c r="AF53" s="74"/>
      <c r="AG53" s="74"/>
      <c r="AH53" s="75"/>
      <c r="AI53" s="75">
        <f t="shared" si="8"/>
        <v>0</v>
      </c>
      <c r="AJ53" s="32"/>
      <c r="AK53" s="32"/>
      <c r="AL53" s="32"/>
      <c r="AM53" s="33"/>
      <c r="AN53" s="33"/>
      <c r="AO53" s="33"/>
      <c r="AP53" s="34">
        <f t="shared" si="9"/>
        <v>0</v>
      </c>
      <c r="AQ53" s="32">
        <f t="shared" si="10"/>
        <v>0</v>
      </c>
      <c r="AR53" s="32">
        <f t="shared" si="11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>IF(AND(AB53="",AC53=""),T53,IF(AC53="",AB53,AC53))</f>
        <v>3516.31</v>
      </c>
      <c r="BC53" s="45">
        <f>+X53</f>
        <v>3541.8</v>
      </c>
      <c r="BD53" s="45"/>
      <c r="BE53" s="45">
        <f t="shared" si="5"/>
        <v>-25.490000000000236</v>
      </c>
      <c r="BF53" s="39">
        <f t="shared" si="6"/>
        <v>-7.2490764466159804E-3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7"/>
        <v>3777.3</v>
      </c>
      <c r="U54" s="46">
        <v>3777.3</v>
      </c>
      <c r="V54" s="46"/>
      <c r="W54" s="46"/>
      <c r="X54" s="46">
        <v>3840.6</v>
      </c>
      <c r="Y54" s="46"/>
      <c r="Z54" s="46">
        <f>+T54-X54</f>
        <v>-63.299999999999727</v>
      </c>
      <c r="AA54" s="39">
        <f>Z54/T54</f>
        <v>-1.6758001747279729E-2</v>
      </c>
      <c r="AB54" s="73">
        <v>3777.25</v>
      </c>
      <c r="AC54" s="73"/>
      <c r="AD54" s="73"/>
      <c r="AE54" s="39"/>
      <c r="AF54" s="74"/>
      <c r="AG54" s="74"/>
      <c r="AH54" s="75"/>
      <c r="AI54" s="75">
        <f t="shared" si="8"/>
        <v>0</v>
      </c>
      <c r="AJ54" s="32"/>
      <c r="AK54" s="32"/>
      <c r="AL54" s="32"/>
      <c r="AM54" s="33"/>
      <c r="AN54" s="33"/>
      <c r="AO54" s="33"/>
      <c r="AP54" s="34">
        <f t="shared" si="9"/>
        <v>0</v>
      </c>
      <c r="AQ54" s="32">
        <f t="shared" si="10"/>
        <v>0</v>
      </c>
      <c r="AR54" s="32">
        <f t="shared" si="11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>IF(AND(AB54="",AC54=""),T54,IF(AC54="",AB54,AC54))</f>
        <v>3777.25</v>
      </c>
      <c r="BC54" s="45">
        <f>+X54</f>
        <v>3840.6</v>
      </c>
      <c r="BD54" s="45"/>
      <c r="BE54" s="45">
        <f t="shared" si="5"/>
        <v>-63.349999999999909</v>
      </c>
      <c r="BF54" s="39">
        <f t="shared" si="6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26">+R55-S55</f>
        <v>3870.4</v>
      </c>
      <c r="U55" s="46">
        <v>3870.4</v>
      </c>
      <c r="V55" s="46"/>
      <c r="W55" s="46"/>
      <c r="X55" s="46">
        <v>3777.2</v>
      </c>
      <c r="Y55" s="46"/>
      <c r="Z55" s="46">
        <f>+T55-X55</f>
        <v>93.200000000000273</v>
      </c>
      <c r="AA55" s="39">
        <f>Z55/T55</f>
        <v>2.4080198429103004E-2</v>
      </c>
      <c r="AB55" s="73">
        <v>3870.4</v>
      </c>
      <c r="AC55" s="73"/>
      <c r="AD55" s="73"/>
      <c r="AE55" s="39"/>
      <c r="AF55" s="74"/>
      <c r="AG55" s="74"/>
      <c r="AH55" s="75"/>
      <c r="AI55" s="75">
        <f t="shared" ref="AI55:AI60" si="27">+AG55+AH55</f>
        <v>0</v>
      </c>
      <c r="AJ55" s="32"/>
      <c r="AK55" s="32"/>
      <c r="AL55" s="32"/>
      <c r="AM55" s="33"/>
      <c r="AN55" s="33"/>
      <c r="AO55" s="33"/>
      <c r="AP55" s="34">
        <f t="shared" ref="AP55:AP60" si="28">ROUNDUP((AO55-AM55+(AO55&lt;AM55))*24,0)</f>
        <v>0</v>
      </c>
      <c r="AQ55" s="32">
        <f t="shared" ref="AQ55:AQ60" si="29">IF(AP55&gt;5,(AP55-5),0)</f>
        <v>0</v>
      </c>
      <c r="AR55" s="32">
        <f t="shared" ref="AR55:AR60" si="30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>IF(AND(AB55="",AC55=""),T55,IF(AC55="",AB55,AC55))</f>
        <v>3870.4</v>
      </c>
      <c r="BC55" s="45">
        <f>+X55</f>
        <v>3777.2</v>
      </c>
      <c r="BD55" s="45"/>
      <c r="BE55" s="45">
        <f t="shared" ref="BE55:BE60" si="31">+BB55-BC55</f>
        <v>93.200000000000273</v>
      </c>
      <c r="BF55" s="39">
        <f t="shared" ref="BF55:BF60" si="32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26"/>
        <v>4021.7</v>
      </c>
      <c r="U56" s="46">
        <v>4021.7</v>
      </c>
      <c r="V56" s="46"/>
      <c r="W56" s="46"/>
      <c r="X56" s="46">
        <v>4039.3</v>
      </c>
      <c r="Y56" s="46"/>
      <c r="Z56" s="46">
        <f>+T56-X56</f>
        <v>-17.600000000000364</v>
      </c>
      <c r="AA56" s="39">
        <f>Z56/T56</f>
        <v>-4.37625879603162E-3</v>
      </c>
      <c r="AB56" s="73">
        <v>4021.7</v>
      </c>
      <c r="AC56" s="73"/>
      <c r="AD56" s="73"/>
      <c r="AE56" s="39"/>
      <c r="AF56" s="74"/>
      <c r="AG56" s="74"/>
      <c r="AH56" s="75"/>
      <c r="AI56" s="75">
        <f t="shared" si="27"/>
        <v>0</v>
      </c>
      <c r="AJ56" s="32"/>
      <c r="AK56" s="32"/>
      <c r="AL56" s="32"/>
      <c r="AM56" s="33"/>
      <c r="AN56" s="33"/>
      <c r="AO56" s="33"/>
      <c r="AP56" s="34">
        <f t="shared" si="28"/>
        <v>0</v>
      </c>
      <c r="AQ56" s="32">
        <f t="shared" si="29"/>
        <v>0</v>
      </c>
      <c r="AR56" s="32">
        <f t="shared" si="30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>IF(AND(AB56="",AC56=""),T56,IF(AC56="",AB56,AC56))</f>
        <v>4021.7</v>
      </c>
      <c r="BC56" s="45">
        <f>+X56</f>
        <v>4039.3</v>
      </c>
      <c r="BD56" s="45"/>
      <c r="BE56" s="45">
        <f t="shared" si="31"/>
        <v>-17.600000000000364</v>
      </c>
      <c r="BF56" s="39">
        <f t="shared" si="32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26"/>
        <v>3902.7</v>
      </c>
      <c r="U57" s="46">
        <v>3902.7</v>
      </c>
      <c r="V57" s="46"/>
      <c r="W57" s="46"/>
      <c r="X57" s="46">
        <v>3836.2</v>
      </c>
      <c r="Y57" s="46"/>
      <c r="Z57" s="46">
        <f>+T57-X57</f>
        <v>66.5</v>
      </c>
      <c r="AA57" s="39">
        <f>Z57/T57</f>
        <v>1.7039485484408232E-2</v>
      </c>
      <c r="AB57" s="73">
        <v>3902.65</v>
      </c>
      <c r="AC57" s="73"/>
      <c r="AD57" s="73"/>
      <c r="AE57" s="39"/>
      <c r="AF57" s="74"/>
      <c r="AG57" s="74"/>
      <c r="AH57" s="75"/>
      <c r="AI57" s="75">
        <f t="shared" si="27"/>
        <v>0</v>
      </c>
      <c r="AJ57" s="32"/>
      <c r="AK57" s="32"/>
      <c r="AL57" s="32"/>
      <c r="AM57" s="33"/>
      <c r="AN57" s="33"/>
      <c r="AO57" s="33"/>
      <c r="AP57" s="34">
        <f t="shared" si="28"/>
        <v>0</v>
      </c>
      <c r="AQ57" s="32">
        <f t="shared" si="29"/>
        <v>0</v>
      </c>
      <c r="AR57" s="32">
        <f t="shared" si="30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>IF(AND(AB57="",AC57=""),T57,IF(AC57="",AB57,AC57))</f>
        <v>3902.65</v>
      </c>
      <c r="BC57" s="45">
        <f>+X57</f>
        <v>3836.2</v>
      </c>
      <c r="BD57" s="45"/>
      <c r="BE57" s="45">
        <f t="shared" si="31"/>
        <v>66.450000000000273</v>
      </c>
      <c r="BF57" s="39">
        <f t="shared" si="32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26"/>
        <v>4008.6</v>
      </c>
      <c r="U58" s="46">
        <v>4008.6</v>
      </c>
      <c r="V58" s="46"/>
      <c r="W58" s="46"/>
      <c r="X58" s="46">
        <v>3991.6</v>
      </c>
      <c r="Y58" s="46"/>
      <c r="Z58" s="46">
        <f>+T58-X58</f>
        <v>17</v>
      </c>
      <c r="AA58" s="39">
        <f>Z58/T58</f>
        <v>4.2408821034775231E-3</v>
      </c>
      <c r="AB58" s="73">
        <v>4010.54</v>
      </c>
      <c r="AC58" s="73"/>
      <c r="AD58" s="73"/>
      <c r="AE58" s="39"/>
      <c r="AF58" s="74"/>
      <c r="AG58" s="74"/>
      <c r="AH58" s="75"/>
      <c r="AI58" s="75">
        <f t="shared" si="27"/>
        <v>0</v>
      </c>
      <c r="AJ58" s="32"/>
      <c r="AK58" s="32"/>
      <c r="AL58" s="32"/>
      <c r="AM58" s="33"/>
      <c r="AN58" s="33"/>
      <c r="AO58" s="33"/>
      <c r="AP58" s="34">
        <f t="shared" si="28"/>
        <v>0</v>
      </c>
      <c r="AQ58" s="32">
        <f t="shared" si="29"/>
        <v>0</v>
      </c>
      <c r="AR58" s="32">
        <f t="shared" si="30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>IF(AND(AB58="",AC58=""),T58,IF(AC58="",AB58,AC58))</f>
        <v>4010.54</v>
      </c>
      <c r="BC58" s="45">
        <f>+X58</f>
        <v>3991.6</v>
      </c>
      <c r="BD58" s="45"/>
      <c r="BE58" s="45">
        <f t="shared" si="31"/>
        <v>18.940000000000055</v>
      </c>
      <c r="BF58" s="39">
        <f t="shared" si="32"/>
        <v>4.7225560647693463E-3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26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>+T59-X59</f>
        <v>-7</v>
      </c>
      <c r="AA59" s="39">
        <f>Z59/T59</f>
        <v>-1.7087340721573987E-3</v>
      </c>
      <c r="AB59" s="73">
        <v>4096.55</v>
      </c>
      <c r="AC59" s="73"/>
      <c r="AD59" s="73"/>
      <c r="AE59" s="39"/>
      <c r="AF59" s="74"/>
      <c r="AG59" s="74"/>
      <c r="AH59" s="75"/>
      <c r="AI59" s="75">
        <f t="shared" si="27"/>
        <v>0</v>
      </c>
      <c r="AJ59" s="32"/>
      <c r="AK59" s="32"/>
      <c r="AL59" s="32"/>
      <c r="AM59" s="33"/>
      <c r="AN59" s="33"/>
      <c r="AO59" s="33"/>
      <c r="AP59" s="34">
        <f t="shared" si="28"/>
        <v>0</v>
      </c>
      <c r="AQ59" s="32">
        <f t="shared" si="29"/>
        <v>0</v>
      </c>
      <c r="AR59" s="32">
        <f t="shared" si="30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>IF(AND(AB59="",AC59=""),T59,IF(AC59="",AB59,AC59))</f>
        <v>4096.55</v>
      </c>
      <c r="BC59" s="45">
        <f>+X59</f>
        <v>4103.6000000000004</v>
      </c>
      <c r="BD59" s="45"/>
      <c r="BE59" s="45">
        <f t="shared" si="31"/>
        <v>-7.0500000000001819</v>
      </c>
      <c r="BF59" s="39">
        <f t="shared" si="32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26"/>
        <v>4117.8</v>
      </c>
      <c r="U60" s="46">
        <v>4117.8</v>
      </c>
      <c r="V60" s="46"/>
      <c r="W60" s="46"/>
      <c r="X60" s="46">
        <v>4096</v>
      </c>
      <c r="Y60" s="46"/>
      <c r="Z60" s="46">
        <f>+T60-X60</f>
        <v>21.800000000000182</v>
      </c>
      <c r="AA60" s="39">
        <f>Z60/T60</f>
        <v>5.2940890766914814E-3</v>
      </c>
      <c r="AB60" s="73">
        <v>4117.75</v>
      </c>
      <c r="AC60" s="73"/>
      <c r="AD60" s="73"/>
      <c r="AE60" s="39"/>
      <c r="AF60" s="74"/>
      <c r="AG60" s="74"/>
      <c r="AH60" s="75"/>
      <c r="AI60" s="75">
        <f t="shared" si="27"/>
        <v>0</v>
      </c>
      <c r="AJ60" s="32"/>
      <c r="AK60" s="32"/>
      <c r="AL60" s="32"/>
      <c r="AM60" s="33"/>
      <c r="AN60" s="33"/>
      <c r="AO60" s="33"/>
      <c r="AP60" s="34">
        <f t="shared" si="28"/>
        <v>0</v>
      </c>
      <c r="AQ60" s="32">
        <f t="shared" si="29"/>
        <v>0</v>
      </c>
      <c r="AR60" s="32">
        <f t="shared" si="30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>IF(AND(AB60="",AC60=""),T60,IF(AC60="",AB60,AC60))</f>
        <v>4117.75</v>
      </c>
      <c r="BC60" s="45">
        <f>+X60</f>
        <v>4096</v>
      </c>
      <c r="BD60" s="45"/>
      <c r="BE60" s="45">
        <f t="shared" si="31"/>
        <v>21.75</v>
      </c>
      <c r="BF60" s="39">
        <f t="shared" si="32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7"/>
        <v>3667.1</v>
      </c>
      <c r="U61" s="46">
        <v>3667.1</v>
      </c>
      <c r="V61" s="46"/>
      <c r="W61" s="46"/>
      <c r="X61" s="46">
        <v>3673.6</v>
      </c>
      <c r="Y61" s="46"/>
      <c r="Z61" s="46">
        <f>+T61-X61</f>
        <v>-6.5</v>
      </c>
      <c r="AA61" s="39">
        <f>Z61/T61</f>
        <v>-1.7725177933516948E-3</v>
      </c>
      <c r="AB61" s="73">
        <v>3679.26</v>
      </c>
      <c r="AC61" s="73"/>
      <c r="AD61" s="73"/>
      <c r="AE61" s="39"/>
      <c r="AF61" s="74"/>
      <c r="AG61" s="74"/>
      <c r="AH61" s="75"/>
      <c r="AI61" s="75">
        <f t="shared" si="8"/>
        <v>0</v>
      </c>
      <c r="AJ61" s="32"/>
      <c r="AK61" s="32"/>
      <c r="AL61" s="32"/>
      <c r="AM61" s="33"/>
      <c r="AN61" s="33"/>
      <c r="AO61" s="33"/>
      <c r="AP61" s="34">
        <f t="shared" si="9"/>
        <v>0</v>
      </c>
      <c r="AQ61" s="32">
        <f t="shared" si="10"/>
        <v>0</v>
      </c>
      <c r="AR61" s="32">
        <f t="shared" si="11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>IF(AND(AB61="",AC61=""),T61,IF(AC61="",AB61,AC61))</f>
        <v>3679.26</v>
      </c>
      <c r="BC61" s="45">
        <f>+X61</f>
        <v>3673.6</v>
      </c>
      <c r="BD61" s="45"/>
      <c r="BE61" s="45">
        <f t="shared" si="5"/>
        <v>5.6600000000003092</v>
      </c>
      <c r="BF61" s="39">
        <f t="shared" si="6"/>
        <v>1.5383528209477746E-3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7"/>
        <v>3785.7</v>
      </c>
      <c r="U62" s="46">
        <v>3785.7</v>
      </c>
      <c r="V62" s="46"/>
      <c r="W62" s="46"/>
      <c r="X62" s="46">
        <v>3729.6</v>
      </c>
      <c r="Y62" s="46"/>
      <c r="Z62" s="46">
        <f>+T62-X62</f>
        <v>56.099999999999909</v>
      </c>
      <c r="AA62" s="39">
        <f>Z62/T62</f>
        <v>1.4818923844995618E-2</v>
      </c>
      <c r="AB62" s="73">
        <v>3785.7</v>
      </c>
      <c r="AC62" s="73"/>
      <c r="AD62" s="73"/>
      <c r="AE62" s="39"/>
      <c r="AF62" s="74"/>
      <c r="AG62" s="74"/>
      <c r="AH62" s="75"/>
      <c r="AI62" s="75">
        <f t="shared" si="8"/>
        <v>0</v>
      </c>
      <c r="AJ62" s="32"/>
      <c r="AK62" s="32"/>
      <c r="AL62" s="32"/>
      <c r="AM62" s="33"/>
      <c r="AN62" s="33"/>
      <c r="AO62" s="33"/>
      <c r="AP62" s="34">
        <f t="shared" si="9"/>
        <v>0</v>
      </c>
      <c r="AQ62" s="32">
        <f t="shared" si="10"/>
        <v>0</v>
      </c>
      <c r="AR62" s="32">
        <f t="shared" si="11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>IF(AND(AB62="",AC62=""),T62,IF(AC62="",AB62,AC62))</f>
        <v>3785.7</v>
      </c>
      <c r="BC62" s="45">
        <f>+X62</f>
        <v>3729.6</v>
      </c>
      <c r="BD62" s="45"/>
      <c r="BE62" s="45">
        <f t="shared" si="5"/>
        <v>56.099999999999909</v>
      </c>
      <c r="BF62" s="39">
        <f t="shared" si="6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7"/>
        <v>3896.8</v>
      </c>
      <c r="U63" s="46">
        <v>3896.8</v>
      </c>
      <c r="V63" s="46"/>
      <c r="W63" s="46"/>
      <c r="X63" s="46">
        <v>3856.8</v>
      </c>
      <c r="Y63" s="46"/>
      <c r="Z63" s="46">
        <f>+T63-X63</f>
        <v>40</v>
      </c>
      <c r="AA63" s="39">
        <f>Z63/T63</f>
        <v>1.0264832683227263E-2</v>
      </c>
      <c r="AB63" s="73">
        <v>3896.75</v>
      </c>
      <c r="AC63" s="73"/>
      <c r="AD63" s="73"/>
      <c r="AE63" s="39"/>
      <c r="AF63" s="74"/>
      <c r="AG63" s="74"/>
      <c r="AH63" s="75"/>
      <c r="AI63" s="75">
        <f t="shared" si="8"/>
        <v>0</v>
      </c>
      <c r="AJ63" s="32"/>
      <c r="AK63" s="32"/>
      <c r="AL63" s="32"/>
      <c r="AM63" s="33"/>
      <c r="AN63" s="33"/>
      <c r="AO63" s="33"/>
      <c r="AP63" s="34">
        <f t="shared" si="9"/>
        <v>0</v>
      </c>
      <c r="AQ63" s="32">
        <f t="shared" si="10"/>
        <v>0</v>
      </c>
      <c r="AR63" s="32">
        <f t="shared" si="11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>IF(AND(AB63="",AC63=""),T63,IF(AC63="",AB63,AC63))</f>
        <v>3896.75</v>
      </c>
      <c r="BC63" s="45">
        <f>+X63</f>
        <v>3856.8</v>
      </c>
      <c r="BD63" s="45"/>
      <c r="BE63" s="45">
        <f t="shared" si="5"/>
        <v>39.949999999999818</v>
      </c>
      <c r="BF63" s="39">
        <f t="shared" si="6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7"/>
        <v>3916</v>
      </c>
      <c r="U64" s="46">
        <v>3953.4</v>
      </c>
      <c r="V64" s="46"/>
      <c r="W64" s="46"/>
      <c r="X64" s="46">
        <v>4016</v>
      </c>
      <c r="Y64" s="46"/>
      <c r="Z64" s="46">
        <f>+T64-X64</f>
        <v>-100</v>
      </c>
      <c r="AA64" s="39">
        <f>Z64/T64</f>
        <v>-2.5536261491317672E-2</v>
      </c>
      <c r="AB64" s="73">
        <v>3921.68</v>
      </c>
      <c r="AC64" s="73"/>
      <c r="AD64" s="73"/>
      <c r="AE64" s="39"/>
      <c r="AF64" s="74"/>
      <c r="AG64" s="74"/>
      <c r="AH64" s="75"/>
      <c r="AI64" s="75">
        <f t="shared" si="8"/>
        <v>0</v>
      </c>
      <c r="AJ64" s="32"/>
      <c r="AK64" s="32"/>
      <c r="AL64" s="32"/>
      <c r="AM64" s="33"/>
      <c r="AN64" s="33"/>
      <c r="AO64" s="33"/>
      <c r="AP64" s="34">
        <f t="shared" si="9"/>
        <v>0</v>
      </c>
      <c r="AQ64" s="32">
        <f t="shared" si="10"/>
        <v>0</v>
      </c>
      <c r="AR64" s="32">
        <f t="shared" si="11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>IF(AND(AB64="",AC64=""),T64,IF(AC64="",AB64,AC64))</f>
        <v>3921.68</v>
      </c>
      <c r="BC64" s="45">
        <f>+X64</f>
        <v>4016</v>
      </c>
      <c r="BD64" s="45"/>
      <c r="BE64" s="45">
        <f t="shared" si="5"/>
        <v>-94.320000000000164</v>
      </c>
      <c r="BF64" s="39">
        <f t="shared" si="6"/>
        <v>-2.405091695395855E-2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7"/>
        <v>4057</v>
      </c>
      <c r="U65" s="46">
        <v>4057</v>
      </c>
      <c r="V65" s="46"/>
      <c r="W65" s="46"/>
      <c r="X65" s="46">
        <v>4194.6000000000004</v>
      </c>
      <c r="Y65" s="46"/>
      <c r="Z65" s="46">
        <f>+T65-X65</f>
        <v>-137.60000000000036</v>
      </c>
      <c r="AA65" s="39">
        <f>Z65/T65</f>
        <v>-3.3916687207296119E-2</v>
      </c>
      <c r="AB65" s="73">
        <v>4194.05</v>
      </c>
      <c r="AC65" s="73"/>
      <c r="AD65" s="73"/>
      <c r="AE65" s="39"/>
      <c r="AF65" s="74"/>
      <c r="AG65" s="74"/>
      <c r="AH65" s="75"/>
      <c r="AI65" s="75">
        <f t="shared" si="8"/>
        <v>0</v>
      </c>
      <c r="AJ65" s="32"/>
      <c r="AK65" s="32"/>
      <c r="AL65" s="32"/>
      <c r="AM65" s="33"/>
      <c r="AN65" s="33"/>
      <c r="AO65" s="33"/>
      <c r="AP65" s="34">
        <f t="shared" si="9"/>
        <v>0</v>
      </c>
      <c r="AQ65" s="32">
        <f t="shared" si="10"/>
        <v>0</v>
      </c>
      <c r="AR65" s="32">
        <f t="shared" si="11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>IF(AND(AB65="",AC65=""),T65,IF(AC65="",AB65,AC65))</f>
        <v>4194.05</v>
      </c>
      <c r="BC65" s="45">
        <f>+X65</f>
        <v>4194.6000000000004</v>
      </c>
      <c r="BD65" s="45"/>
      <c r="BE65" s="45">
        <f t="shared" si="5"/>
        <v>-0.5500000000001819</v>
      </c>
      <c r="BF65" s="39">
        <f t="shared" si="6"/>
        <v>-1.3113816001244187E-4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33">+R66-S66</f>
        <v>3590</v>
      </c>
      <c r="U66" s="46">
        <v>3591.4</v>
      </c>
      <c r="V66" s="46"/>
      <c r="W66" s="46"/>
      <c r="X66" s="46">
        <v>3522.6</v>
      </c>
      <c r="Y66" s="46"/>
      <c r="Z66" s="46">
        <f>+T66-X66</f>
        <v>67.400000000000091</v>
      </c>
      <c r="AA66" s="39">
        <f>Z66/T66</f>
        <v>1.877437325905295E-2</v>
      </c>
      <c r="AB66" s="73">
        <v>3590</v>
      </c>
      <c r="AC66" s="73"/>
      <c r="AD66" s="73"/>
      <c r="AE66" s="39"/>
      <c r="AF66" s="74"/>
      <c r="AG66" s="74"/>
      <c r="AH66" s="75"/>
      <c r="AI66" s="75">
        <f t="shared" ref="AI66:AI73" si="34">+AG66+AH66</f>
        <v>0</v>
      </c>
      <c r="AJ66" s="32"/>
      <c r="AK66" s="32"/>
      <c r="AL66" s="32"/>
      <c r="AM66" s="33"/>
      <c r="AN66" s="33"/>
      <c r="AO66" s="33"/>
      <c r="AP66" s="34">
        <f t="shared" ref="AP66:AP73" si="35">ROUNDUP((AO66-AM66+(AO66&lt;AM66))*24,0)</f>
        <v>0</v>
      </c>
      <c r="AQ66" s="32">
        <f t="shared" ref="AQ66:AQ73" si="36">IF(AP66&gt;5,(AP66-5),0)</f>
        <v>0</v>
      </c>
      <c r="AR66" s="32">
        <f t="shared" ref="AR66:AR73" si="37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>IF(AND(AB66="",AC66=""),T66,IF(AC66="",AB66,AC66))</f>
        <v>3590</v>
      </c>
      <c r="BC66" s="45">
        <f>+X66</f>
        <v>3522.6</v>
      </c>
      <c r="BD66" s="45"/>
      <c r="BE66" s="45">
        <f t="shared" ref="BE66:BE73" si="38">+BB66-BC66</f>
        <v>67.400000000000091</v>
      </c>
      <c r="BF66" s="39">
        <f t="shared" ref="BF66:BF73" si="39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33"/>
        <v>3985.6</v>
      </c>
      <c r="U67" s="46">
        <v>3994.8</v>
      </c>
      <c r="V67" s="46"/>
      <c r="W67" s="46"/>
      <c r="X67" s="46">
        <v>3933</v>
      </c>
      <c r="Y67" s="46"/>
      <c r="Z67" s="46">
        <f>+T67-X67</f>
        <v>52.599999999999909</v>
      </c>
      <c r="AA67" s="39">
        <f>Z67/T67</f>
        <v>1.3197511039743053E-2</v>
      </c>
      <c r="AB67" s="73">
        <v>3985.55</v>
      </c>
      <c r="AC67" s="73"/>
      <c r="AD67" s="73"/>
      <c r="AE67" s="39"/>
      <c r="AF67" s="74"/>
      <c r="AG67" s="74"/>
      <c r="AH67" s="75"/>
      <c r="AI67" s="75">
        <f t="shared" si="34"/>
        <v>0</v>
      </c>
      <c r="AJ67" s="32"/>
      <c r="AK67" s="32"/>
      <c r="AL67" s="32"/>
      <c r="AM67" s="33"/>
      <c r="AN67" s="33"/>
      <c r="AO67" s="33"/>
      <c r="AP67" s="34">
        <f t="shared" si="35"/>
        <v>0</v>
      </c>
      <c r="AQ67" s="32">
        <f t="shared" si="36"/>
        <v>0</v>
      </c>
      <c r="AR67" s="32">
        <f t="shared" si="3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>IF(AND(AB67="",AC67=""),T67,IF(AC67="",AB67,AC67))</f>
        <v>3985.55</v>
      </c>
      <c r="BC67" s="45">
        <f>+X67</f>
        <v>3933</v>
      </c>
      <c r="BD67" s="45"/>
      <c r="BE67" s="45">
        <f t="shared" si="38"/>
        <v>52.550000000000182</v>
      </c>
      <c r="BF67" s="39">
        <f t="shared" si="39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33"/>
        <v>3927.6</v>
      </c>
      <c r="U68" s="46">
        <v>3942.2</v>
      </c>
      <c r="V68" s="46"/>
      <c r="W68" s="46"/>
      <c r="X68" s="46">
        <v>4092.6</v>
      </c>
      <c r="Y68" s="46"/>
      <c r="Z68" s="46">
        <f>+T68-X68</f>
        <v>-165</v>
      </c>
      <c r="AA68" s="39">
        <f>Z68/T68</f>
        <v>-4.2010388023220289E-2</v>
      </c>
      <c r="AB68" s="73">
        <v>3965.72</v>
      </c>
      <c r="AC68" s="73"/>
      <c r="AD68" s="73"/>
      <c r="AE68" s="39"/>
      <c r="AF68" s="74"/>
      <c r="AG68" s="74"/>
      <c r="AH68" s="75"/>
      <c r="AI68" s="75">
        <f t="shared" si="34"/>
        <v>0</v>
      </c>
      <c r="AJ68" s="32"/>
      <c r="AK68" s="32"/>
      <c r="AL68" s="32"/>
      <c r="AM68" s="33"/>
      <c r="AN68" s="33"/>
      <c r="AO68" s="33"/>
      <c r="AP68" s="34">
        <f t="shared" si="35"/>
        <v>0</v>
      </c>
      <c r="AQ68" s="32">
        <f t="shared" si="36"/>
        <v>0</v>
      </c>
      <c r="AR68" s="32">
        <f t="shared" si="3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>IF(AND(AB68="",AC68=""),T68,IF(AC68="",AB68,AC68))</f>
        <v>3965.72</v>
      </c>
      <c r="BC68" s="45">
        <f>+X68</f>
        <v>4092.6</v>
      </c>
      <c r="BD68" s="45"/>
      <c r="BE68" s="45">
        <f t="shared" si="38"/>
        <v>-126.88000000000011</v>
      </c>
      <c r="BF68" s="39">
        <f t="shared" si="39"/>
        <v>-3.1994190210100588E-2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33"/>
        <v>3866.9</v>
      </c>
      <c r="U69" s="46">
        <v>3893</v>
      </c>
      <c r="V69" s="46"/>
      <c r="W69" s="46"/>
      <c r="X69" s="46">
        <v>4001.6</v>
      </c>
      <c r="Y69" s="46"/>
      <c r="Z69" s="46">
        <f>+T69-X69</f>
        <v>-134.69999999999982</v>
      </c>
      <c r="AA69" s="39">
        <f>Z69/T69</f>
        <v>-3.4834104838501079E-2</v>
      </c>
      <c r="AB69" s="73">
        <v>3894.02</v>
      </c>
      <c r="AC69" s="73"/>
      <c r="AD69" s="73"/>
      <c r="AE69" s="39"/>
      <c r="AF69" s="74"/>
      <c r="AG69" s="74"/>
      <c r="AH69" s="75"/>
      <c r="AI69" s="75">
        <f t="shared" si="34"/>
        <v>0</v>
      </c>
      <c r="AJ69" s="32"/>
      <c r="AK69" s="32"/>
      <c r="AL69" s="32"/>
      <c r="AM69" s="33"/>
      <c r="AN69" s="33"/>
      <c r="AO69" s="33"/>
      <c r="AP69" s="34">
        <f t="shared" si="35"/>
        <v>0</v>
      </c>
      <c r="AQ69" s="32">
        <f t="shared" si="36"/>
        <v>0</v>
      </c>
      <c r="AR69" s="32">
        <f t="shared" si="3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>IF(AND(AB69="",AC69=""),T69,IF(AC69="",AB69,AC69))</f>
        <v>3894.02</v>
      </c>
      <c r="BC69" s="45">
        <f>+X69</f>
        <v>4001.6</v>
      </c>
      <c r="BD69" s="45"/>
      <c r="BE69" s="45">
        <f t="shared" si="38"/>
        <v>-107.57999999999993</v>
      </c>
      <c r="BF69" s="39">
        <f t="shared" si="39"/>
        <v>-2.7626976748963777E-2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33"/>
        <v>3667.5</v>
      </c>
      <c r="U70" s="46">
        <v>3697.2</v>
      </c>
      <c r="V70" s="46"/>
      <c r="W70" s="46"/>
      <c r="X70" s="46">
        <v>3335.4</v>
      </c>
      <c r="Y70" s="46"/>
      <c r="Z70" s="46">
        <f>+T70-X70</f>
        <v>332.09999999999991</v>
      </c>
      <c r="AA70" s="39">
        <f>Z70/T70</f>
        <v>9.0552147239263775E-2</v>
      </c>
      <c r="AB70" s="73">
        <v>3667.5</v>
      </c>
      <c r="AC70" s="73"/>
      <c r="AD70" s="73"/>
      <c r="AE70" s="39"/>
      <c r="AF70" s="74"/>
      <c r="AG70" s="74"/>
      <c r="AH70" s="75"/>
      <c r="AI70" s="75">
        <f t="shared" si="34"/>
        <v>0</v>
      </c>
      <c r="AJ70" s="32"/>
      <c r="AK70" s="32"/>
      <c r="AL70" s="32"/>
      <c r="AM70" s="33"/>
      <c r="AN70" s="33"/>
      <c r="AO70" s="33"/>
      <c r="AP70" s="34">
        <f t="shared" si="35"/>
        <v>0</v>
      </c>
      <c r="AQ70" s="32">
        <f t="shared" si="36"/>
        <v>0</v>
      </c>
      <c r="AR70" s="32">
        <f t="shared" si="3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>IF(AND(AB70="",AC70=""),T70,IF(AC70="",AB70,AC70))</f>
        <v>3667.5</v>
      </c>
      <c r="BC70" s="45">
        <f>+X70</f>
        <v>3335.4</v>
      </c>
      <c r="BD70" s="45"/>
      <c r="BE70" s="45">
        <f t="shared" si="38"/>
        <v>332.09999999999991</v>
      </c>
      <c r="BF70" s="39">
        <f t="shared" si="39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33"/>
        <v>3576.4</v>
      </c>
      <c r="U71" s="46">
        <v>3585</v>
      </c>
      <c r="V71" s="46"/>
      <c r="W71" s="46"/>
      <c r="X71" s="46">
        <v>3253.4</v>
      </c>
      <c r="Y71" s="46"/>
      <c r="Z71" s="46">
        <f>+T71-X71</f>
        <v>323</v>
      </c>
      <c r="AA71" s="39">
        <f>Z71/T71</f>
        <v>9.0314282518733927E-2</v>
      </c>
      <c r="AB71" s="73">
        <v>3576.4</v>
      </c>
      <c r="AC71" s="73"/>
      <c r="AD71" s="73"/>
      <c r="AE71" s="39"/>
      <c r="AF71" s="74"/>
      <c r="AG71" s="74"/>
      <c r="AH71" s="75"/>
      <c r="AI71" s="75">
        <f t="shared" si="34"/>
        <v>0</v>
      </c>
      <c r="AJ71" s="32"/>
      <c r="AK71" s="32"/>
      <c r="AL71" s="32"/>
      <c r="AM71" s="33"/>
      <c r="AN71" s="33"/>
      <c r="AO71" s="33"/>
      <c r="AP71" s="34">
        <f t="shared" si="35"/>
        <v>0</v>
      </c>
      <c r="AQ71" s="32">
        <f t="shared" si="36"/>
        <v>0</v>
      </c>
      <c r="AR71" s="32">
        <f t="shared" si="3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>IF(AND(AB71="",AC71=""),T71,IF(AC71="",AB71,AC71))</f>
        <v>3576.4</v>
      </c>
      <c r="BC71" s="45">
        <f>+X71</f>
        <v>3253.4</v>
      </c>
      <c r="BD71" s="45"/>
      <c r="BE71" s="45">
        <f t="shared" si="38"/>
        <v>323</v>
      </c>
      <c r="BF71" s="39">
        <f t="shared" si="39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33"/>
        <v>3804.9</v>
      </c>
      <c r="U72" s="46">
        <v>3817.8</v>
      </c>
      <c r="V72" s="46"/>
      <c r="W72" s="46"/>
      <c r="X72" s="46">
        <v>4004.8</v>
      </c>
      <c r="Y72" s="46"/>
      <c r="Z72" s="46">
        <f>+T72-X72</f>
        <v>-199.90000000000009</v>
      </c>
      <c r="AA72" s="39">
        <f>Z72/T72</f>
        <v>-5.2537517411758543E-2</v>
      </c>
      <c r="AB72" s="73">
        <v>4000.9</v>
      </c>
      <c r="AC72" s="73"/>
      <c r="AD72" s="73"/>
      <c r="AE72" s="39"/>
      <c r="AF72" s="74"/>
      <c r="AG72" s="74"/>
      <c r="AH72" s="75"/>
      <c r="AI72" s="75">
        <f t="shared" si="34"/>
        <v>0</v>
      </c>
      <c r="AJ72" s="32"/>
      <c r="AK72" s="32"/>
      <c r="AL72" s="32"/>
      <c r="AM72" s="33"/>
      <c r="AN72" s="33"/>
      <c r="AO72" s="33"/>
      <c r="AP72" s="34">
        <f t="shared" si="35"/>
        <v>0</v>
      </c>
      <c r="AQ72" s="32">
        <f t="shared" si="36"/>
        <v>0</v>
      </c>
      <c r="AR72" s="32">
        <f t="shared" si="37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>IF(AND(AB72="",AC72=""),T72,IF(AC72="",AB72,AC72))</f>
        <v>4000.9</v>
      </c>
      <c r="BC72" s="45">
        <f>+X72</f>
        <v>4004.8</v>
      </c>
      <c r="BD72" s="45"/>
      <c r="BE72" s="45">
        <f t="shared" si="38"/>
        <v>-3.9000000000000909</v>
      </c>
      <c r="BF72" s="39">
        <f t="shared" si="39"/>
        <v>-9.747806743482944E-4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33"/>
        <v>3765.2</v>
      </c>
      <c r="U73" s="46">
        <v>3780.2</v>
      </c>
      <c r="V73" s="46"/>
      <c r="W73" s="46"/>
      <c r="X73" s="46">
        <v>3774</v>
      </c>
      <c r="Y73" s="46"/>
      <c r="Z73" s="46">
        <f>+T73-X73</f>
        <v>-8.8000000000001819</v>
      </c>
      <c r="AA73" s="39">
        <f>Z73/T73</f>
        <v>-2.3371932433868541E-3</v>
      </c>
      <c r="AB73" s="73">
        <v>3765.2</v>
      </c>
      <c r="AC73" s="73"/>
      <c r="AD73" s="73"/>
      <c r="AE73" s="39"/>
      <c r="AF73" s="74"/>
      <c r="AG73" s="74"/>
      <c r="AH73" s="75"/>
      <c r="AI73" s="75">
        <f t="shared" si="34"/>
        <v>0</v>
      </c>
      <c r="AJ73" s="32"/>
      <c r="AK73" s="32"/>
      <c r="AL73" s="32"/>
      <c r="AM73" s="33"/>
      <c r="AN73" s="33"/>
      <c r="AO73" s="33"/>
      <c r="AP73" s="34">
        <f t="shared" si="35"/>
        <v>0</v>
      </c>
      <c r="AQ73" s="32">
        <f t="shared" si="36"/>
        <v>0</v>
      </c>
      <c r="AR73" s="32">
        <f t="shared" si="37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>IF(AND(AB73="",AC73=""),T73,IF(AC73="",AB73,AC73))</f>
        <v>3765.2</v>
      </c>
      <c r="BC73" s="45">
        <f>+X73</f>
        <v>3774</v>
      </c>
      <c r="BD73" s="45"/>
      <c r="BE73" s="45">
        <f t="shared" si="38"/>
        <v>-8.8000000000001819</v>
      </c>
      <c r="BF73" s="39">
        <f t="shared" si="39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7"/>
        <v>3502.2</v>
      </c>
      <c r="U74" s="46">
        <v>3515.2</v>
      </c>
      <c r="V74" s="46"/>
      <c r="W74" s="46"/>
      <c r="X74" s="46">
        <v>3402.2</v>
      </c>
      <c r="Y74" s="46"/>
      <c r="Z74" s="46">
        <f>+T74-X74</f>
        <v>100</v>
      </c>
      <c r="AA74" s="39">
        <f>Z74/T74</f>
        <v>2.8553480669293588E-2</v>
      </c>
      <c r="AB74" s="73">
        <v>3502.15</v>
      </c>
      <c r="AC74" s="73"/>
      <c r="AD74" s="73"/>
      <c r="AE74" s="39"/>
      <c r="AF74" s="74"/>
      <c r="AG74" s="74"/>
      <c r="AH74" s="75"/>
      <c r="AI74" s="75">
        <f t="shared" si="8"/>
        <v>0</v>
      </c>
      <c r="AJ74" s="32"/>
      <c r="AK74" s="32"/>
      <c r="AL74" s="32"/>
      <c r="AM74" s="33"/>
      <c r="AN74" s="33"/>
      <c r="AO74" s="33"/>
      <c r="AP74" s="34">
        <f t="shared" si="9"/>
        <v>0</v>
      </c>
      <c r="AQ74" s="32">
        <f t="shared" si="10"/>
        <v>0</v>
      </c>
      <c r="AR74" s="32">
        <f t="shared" si="11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>IF(AND(AB74="",AC74=""),T74,IF(AC74="",AB74,AC74))</f>
        <v>3502.15</v>
      </c>
      <c r="BC74" s="45">
        <f>+X74</f>
        <v>3402.2</v>
      </c>
      <c r="BD74" s="45"/>
      <c r="BE74" s="45">
        <f t="shared" si="5"/>
        <v>99.950000000000273</v>
      </c>
      <c r="BF74" s="39">
        <f t="shared" si="6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40">+R75-S75</f>
        <v>3972.7</v>
      </c>
      <c r="U75" s="46">
        <v>3981.8</v>
      </c>
      <c r="V75" s="46"/>
      <c r="W75" s="46"/>
      <c r="X75" s="46">
        <v>3937.4</v>
      </c>
      <c r="Y75" s="46"/>
      <c r="Z75" s="46">
        <f>+T75-X75</f>
        <v>35.299999999999727</v>
      </c>
      <c r="AA75" s="39">
        <f>Z75/T75</f>
        <v>8.8856445238753821E-3</v>
      </c>
      <c r="AB75" s="73">
        <v>3972.7</v>
      </c>
      <c r="AC75" s="73"/>
      <c r="AD75" s="73"/>
      <c r="AE75" s="39"/>
      <c r="AF75" s="74"/>
      <c r="AG75" s="74"/>
      <c r="AH75" s="75"/>
      <c r="AI75" s="75">
        <f t="shared" ref="AI75" si="41">+AG75+AH75</f>
        <v>0</v>
      </c>
      <c r="AJ75" s="32"/>
      <c r="AK75" s="32"/>
      <c r="AL75" s="32"/>
      <c r="AM75" s="33"/>
      <c r="AN75" s="33"/>
      <c r="AO75" s="33"/>
      <c r="AP75" s="34">
        <f t="shared" ref="AP75" si="42">ROUNDUP((AO75-AM75+(AO75&lt;AM75))*24,0)</f>
        <v>0</v>
      </c>
      <c r="AQ75" s="32">
        <f t="shared" ref="AQ75" si="43">IF(AP75&gt;5,(AP75-5),0)</f>
        <v>0</v>
      </c>
      <c r="AR75" s="32">
        <f t="shared" ref="AR75" si="44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>IF(AND(AB75="",AC75=""),T75,IF(AC75="",AB75,AC75))</f>
        <v>3972.7</v>
      </c>
      <c r="BC75" s="45">
        <f>+X75</f>
        <v>3937.4</v>
      </c>
      <c r="BD75" s="45"/>
      <c r="BE75" s="45">
        <f t="shared" ref="BE75" si="45">+BB75-BC75</f>
        <v>35.299999999999727</v>
      </c>
      <c r="BF75" s="39">
        <f t="shared" ref="BF75" si="46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7"/>
        <v>3728.9</v>
      </c>
      <c r="U76" s="46">
        <v>3744.6</v>
      </c>
      <c r="V76" s="46"/>
      <c r="W76" s="46"/>
      <c r="X76" s="46">
        <v>3521.4</v>
      </c>
      <c r="Y76" s="46"/>
      <c r="Z76" s="46">
        <f>+T76-X76</f>
        <v>207.5</v>
      </c>
      <c r="AA76" s="39">
        <f>Z76/T76</f>
        <v>5.5646437287135614E-2</v>
      </c>
      <c r="AB76" s="73">
        <v>3872.5</v>
      </c>
      <c r="AC76" s="73"/>
      <c r="AD76" s="73"/>
      <c r="AE76" s="39"/>
      <c r="AF76" s="74"/>
      <c r="AG76" s="74"/>
      <c r="AH76" s="75"/>
      <c r="AI76" s="75">
        <f t="shared" si="8"/>
        <v>0</v>
      </c>
      <c r="AJ76" s="32"/>
      <c r="AK76" s="32"/>
      <c r="AL76" s="32"/>
      <c r="AM76" s="33"/>
      <c r="AN76" s="33"/>
      <c r="AO76" s="33"/>
      <c r="AP76" s="34">
        <f t="shared" si="9"/>
        <v>0</v>
      </c>
      <c r="AQ76" s="32">
        <f t="shared" si="10"/>
        <v>0</v>
      </c>
      <c r="AR76" s="32">
        <f t="shared" si="11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>IF(AND(AB76="",AC76=""),T76,IF(AC76="",AB76,AC76))</f>
        <v>3872.5</v>
      </c>
      <c r="BC76" s="45">
        <f>+X76</f>
        <v>3521.4</v>
      </c>
      <c r="BD76" s="45"/>
      <c r="BE76" s="45">
        <f t="shared" si="5"/>
        <v>351.09999999999991</v>
      </c>
      <c r="BF76" s="39">
        <f t="shared" si="6"/>
        <v>9.0664945125887644E-2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7"/>
        <v>3691</v>
      </c>
      <c r="U77" s="46">
        <v>3708.2</v>
      </c>
      <c r="V77" s="46"/>
      <c r="W77" s="46"/>
      <c r="X77" s="46">
        <v>3669</v>
      </c>
      <c r="Y77" s="46"/>
      <c r="Z77" s="46">
        <f>+T77-X77</f>
        <v>22</v>
      </c>
      <c r="AA77" s="39">
        <f>Z77/T77</f>
        <v>5.9604443240314281E-3</v>
      </c>
      <c r="AB77" s="73">
        <v>3691</v>
      </c>
      <c r="AC77" s="73"/>
      <c r="AD77" s="73"/>
      <c r="AE77" s="39"/>
      <c r="AF77" s="74"/>
      <c r="AG77" s="74"/>
      <c r="AH77" s="75"/>
      <c r="AI77" s="75">
        <f t="shared" si="8"/>
        <v>0</v>
      </c>
      <c r="AJ77" s="32"/>
      <c r="AK77" s="32"/>
      <c r="AL77" s="32"/>
      <c r="AM77" s="33"/>
      <c r="AN77" s="33"/>
      <c r="AO77" s="33"/>
      <c r="AP77" s="34">
        <f t="shared" si="9"/>
        <v>0</v>
      </c>
      <c r="AQ77" s="32">
        <f t="shared" si="10"/>
        <v>0</v>
      </c>
      <c r="AR77" s="32">
        <f t="shared" si="11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>IF(AND(AB77="",AC77=""),T77,IF(AC77="",AB77,AC77))</f>
        <v>3691</v>
      </c>
      <c r="BC77" s="45">
        <f>+X77</f>
        <v>3669</v>
      </c>
      <c r="BD77" s="45"/>
      <c r="BE77" s="45">
        <f t="shared" si="5"/>
        <v>22</v>
      </c>
      <c r="BF77" s="39">
        <f t="shared" si="6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7"/>
        <v>3915.7</v>
      </c>
      <c r="U78" s="46">
        <v>3922.2</v>
      </c>
      <c r="V78" s="46"/>
      <c r="W78" s="46"/>
      <c r="X78" s="46">
        <v>3803.6</v>
      </c>
      <c r="Y78" s="46"/>
      <c r="Z78" s="46">
        <f>+T78-X78</f>
        <v>112.09999999999991</v>
      </c>
      <c r="AA78" s="39">
        <f>Z78/T78</f>
        <v>2.8628342314273289E-2</v>
      </c>
      <c r="AB78" s="73">
        <v>3915.7</v>
      </c>
      <c r="AC78" s="73"/>
      <c r="AD78" s="73"/>
      <c r="AE78" s="39"/>
      <c r="AF78" s="74"/>
      <c r="AG78" s="74"/>
      <c r="AH78" s="75"/>
      <c r="AI78" s="75">
        <f t="shared" si="8"/>
        <v>0</v>
      </c>
      <c r="AJ78" s="32"/>
      <c r="AK78" s="32"/>
      <c r="AL78" s="32"/>
      <c r="AM78" s="33"/>
      <c r="AN78" s="33"/>
      <c r="AO78" s="33"/>
      <c r="AP78" s="34">
        <f t="shared" si="9"/>
        <v>0</v>
      </c>
      <c r="AQ78" s="32">
        <f t="shared" si="10"/>
        <v>0</v>
      </c>
      <c r="AR78" s="32">
        <f t="shared" si="11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>IF(AND(AB78="",AC78=""),T78,IF(AC78="",AB78,AC78))</f>
        <v>3915.7</v>
      </c>
      <c r="BC78" s="45">
        <f>+X78</f>
        <v>3803.6</v>
      </c>
      <c r="BD78" s="45"/>
      <c r="BE78" s="45">
        <f t="shared" ref="BE78:BE87" si="47">+BB78-BC78</f>
        <v>112.09999999999991</v>
      </c>
      <c r="BF78" s="39">
        <f t="shared" ref="BF78:BF87" si="48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7"/>
        <v>3795</v>
      </c>
      <c r="U79" s="46">
        <v>3870.4</v>
      </c>
      <c r="V79" s="46"/>
      <c r="W79" s="46"/>
      <c r="X79" s="46">
        <v>3915.16</v>
      </c>
      <c r="Y79" s="46"/>
      <c r="Z79" s="46">
        <f>+T79-X79</f>
        <v>-120.15999999999985</v>
      </c>
      <c r="AA79" s="39">
        <f>Z79/T79</f>
        <v>-3.1662714097496665E-2</v>
      </c>
      <c r="AB79" s="73">
        <v>3803.66</v>
      </c>
      <c r="AC79" s="73"/>
      <c r="AD79" s="73"/>
      <c r="AE79" s="39"/>
      <c r="AF79" s="74"/>
      <c r="AG79" s="74"/>
      <c r="AH79" s="75"/>
      <c r="AI79" s="75">
        <f t="shared" si="8"/>
        <v>0</v>
      </c>
      <c r="AJ79" s="32"/>
      <c r="AK79" s="32"/>
      <c r="AL79" s="32"/>
      <c r="AM79" s="33"/>
      <c r="AN79" s="33"/>
      <c r="AO79" s="33"/>
      <c r="AP79" s="34">
        <f t="shared" si="9"/>
        <v>0</v>
      </c>
      <c r="AQ79" s="32">
        <f t="shared" si="10"/>
        <v>0</v>
      </c>
      <c r="AR79" s="32">
        <f t="shared" si="11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>IF(AND(AB79="",AC79=""),T79,IF(AC79="",AB79,AC79))</f>
        <v>3803.66</v>
      </c>
      <c r="BC79" s="45">
        <f>+X79</f>
        <v>3915.16</v>
      </c>
      <c r="BD79" s="45"/>
      <c r="BE79" s="45">
        <f t="shared" si="47"/>
        <v>-111.5</v>
      </c>
      <c r="BF79" s="39">
        <f t="shared" si="48"/>
        <v>-2.9313871376516303E-2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7"/>
        <v>3906</v>
      </c>
      <c r="U80" s="46">
        <v>3922.2</v>
      </c>
      <c r="V80" s="46"/>
      <c r="W80" s="46"/>
      <c r="X80" s="46">
        <v>4083.6</v>
      </c>
      <c r="Y80" s="46"/>
      <c r="Z80" s="46">
        <f>+T80-X80</f>
        <v>-177.59999999999991</v>
      </c>
      <c r="AA80" s="39">
        <f>Z80/T80</f>
        <v>-4.5468509984638993E-2</v>
      </c>
      <c r="AB80" s="73">
        <v>3905.95</v>
      </c>
      <c r="AC80" s="73"/>
      <c r="AD80" s="73"/>
      <c r="AE80" s="39"/>
      <c r="AF80" s="74"/>
      <c r="AG80" s="74"/>
      <c r="AH80" s="75"/>
      <c r="AI80" s="75">
        <f t="shared" si="8"/>
        <v>0</v>
      </c>
      <c r="AJ80" s="32"/>
      <c r="AK80" s="32"/>
      <c r="AL80" s="32"/>
      <c r="AM80" s="33"/>
      <c r="AN80" s="33"/>
      <c r="AO80" s="33"/>
      <c r="AP80" s="34">
        <f t="shared" si="9"/>
        <v>0</v>
      </c>
      <c r="AQ80" s="32">
        <f t="shared" si="10"/>
        <v>0</v>
      </c>
      <c r="AR80" s="32">
        <f t="shared" si="11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>IF(AND(AB80="",AC80=""),T80,IF(AC80="",AB80,AC80))</f>
        <v>3905.95</v>
      </c>
      <c r="BC80" s="45">
        <f>+X80</f>
        <v>4083.6</v>
      </c>
      <c r="BD80" s="45"/>
      <c r="BE80" s="45">
        <f t="shared" si="47"/>
        <v>-177.65000000000009</v>
      </c>
      <c r="BF80" s="39">
        <f t="shared" si="48"/>
        <v>-4.5481893009383149E-2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64</v>
      </c>
      <c r="F81" s="36">
        <v>46250</v>
      </c>
      <c r="G81" s="24" t="s">
        <v>59</v>
      </c>
      <c r="H81" s="24">
        <v>59</v>
      </c>
      <c r="I81" s="24">
        <v>3</v>
      </c>
      <c r="J81" s="24" t="s">
        <v>64</v>
      </c>
      <c r="K81" s="25">
        <v>162004403</v>
      </c>
      <c r="L81" s="26">
        <v>46250</v>
      </c>
      <c r="M81" s="38">
        <v>46252</v>
      </c>
      <c r="N81" s="52">
        <v>16583</v>
      </c>
      <c r="O81" s="27"/>
      <c r="P81" s="27"/>
      <c r="Q81" s="27"/>
      <c r="R81" s="46">
        <v>5055.07</v>
      </c>
      <c r="S81" s="46">
        <v>1175.7699999999995</v>
      </c>
      <c r="T81" s="46">
        <f t="shared" si="7"/>
        <v>3879.3</v>
      </c>
      <c r="U81" s="46">
        <v>3899.8</v>
      </c>
      <c r="V81" s="46"/>
      <c r="W81" s="46"/>
      <c r="X81" s="46">
        <v>3891</v>
      </c>
      <c r="Y81" s="46"/>
      <c r="Z81" s="46">
        <f>+T81-X81</f>
        <v>-11.699999999999818</v>
      </c>
      <c r="AA81" s="39">
        <f>Z81/T81</f>
        <v>-3.0160080426880668E-3</v>
      </c>
      <c r="AB81" s="73">
        <v>3879.3</v>
      </c>
      <c r="AC81" s="73"/>
      <c r="AD81" s="73"/>
      <c r="AE81" s="39"/>
      <c r="AF81" s="74"/>
      <c r="AG81" s="74"/>
      <c r="AH81" s="75"/>
      <c r="AI81" s="75">
        <f t="shared" si="8"/>
        <v>0</v>
      </c>
      <c r="AJ81" s="32"/>
      <c r="AK81" s="32"/>
      <c r="AL81" s="32"/>
      <c r="AM81" s="33"/>
      <c r="AN81" s="33"/>
      <c r="AO81" s="33"/>
      <c r="AP81" s="34">
        <f t="shared" si="9"/>
        <v>0</v>
      </c>
      <c r="AQ81" s="32">
        <f t="shared" si="10"/>
        <v>0</v>
      </c>
      <c r="AR81" s="32">
        <f t="shared" si="11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>IF(AND(AB81="",AC81=""),T81,IF(AC81="",AB81,AC81))</f>
        <v>3879.3</v>
      </c>
      <c r="BC81" s="45">
        <f>+X81</f>
        <v>3891</v>
      </c>
      <c r="BD81" s="45"/>
      <c r="BE81" s="45">
        <f t="shared" si="47"/>
        <v>-11.699999999999818</v>
      </c>
      <c r="BF81" s="39">
        <f t="shared" si="48"/>
        <v>-3.0160080426880668E-3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65</v>
      </c>
      <c r="F82" s="36">
        <v>46250</v>
      </c>
      <c r="G82" s="24" t="s">
        <v>59</v>
      </c>
      <c r="H82" s="24">
        <v>58</v>
      </c>
      <c r="I82" s="24">
        <v>12</v>
      </c>
      <c r="J82" s="24" t="s">
        <v>67</v>
      </c>
      <c r="K82" s="25">
        <v>162011717</v>
      </c>
      <c r="L82" s="26">
        <v>46251</v>
      </c>
      <c r="M82" s="38">
        <v>46252</v>
      </c>
      <c r="N82" s="52">
        <v>16585</v>
      </c>
      <c r="O82" s="27"/>
      <c r="P82" s="27"/>
      <c r="Q82" s="27"/>
      <c r="R82" s="46">
        <v>4123.6000000000004</v>
      </c>
      <c r="S82" s="46">
        <v>961.00000000000045</v>
      </c>
      <c r="T82" s="46">
        <f t="shared" si="7"/>
        <v>3162.6</v>
      </c>
      <c r="U82" s="46">
        <v>3226.4</v>
      </c>
      <c r="V82" s="46"/>
      <c r="W82" s="46"/>
      <c r="X82" s="46">
        <v>3199</v>
      </c>
      <c r="Y82" s="46"/>
      <c r="Z82" s="46">
        <f>+T82-X82</f>
        <v>-36.400000000000091</v>
      </c>
      <c r="AA82" s="39">
        <f>Z82/T82</f>
        <v>-1.1509517485613132E-2</v>
      </c>
      <c r="AB82" s="73">
        <v>3461.9999999999995</v>
      </c>
      <c r="AC82" s="73"/>
      <c r="AD82" s="73"/>
      <c r="AE82" s="39"/>
      <c r="AF82" s="74"/>
      <c r="AG82" s="74"/>
      <c r="AH82" s="75"/>
      <c r="AI82" s="75">
        <f t="shared" si="8"/>
        <v>0</v>
      </c>
      <c r="AJ82" s="32"/>
      <c r="AK82" s="32"/>
      <c r="AL82" s="32"/>
      <c r="AM82" s="33"/>
      <c r="AN82" s="33"/>
      <c r="AO82" s="33"/>
      <c r="AP82" s="34">
        <f t="shared" si="9"/>
        <v>0</v>
      </c>
      <c r="AQ82" s="32">
        <f t="shared" si="10"/>
        <v>0</v>
      </c>
      <c r="AR82" s="32">
        <f t="shared" si="11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>IF(AND(AB82="",AC82=""),T82,IF(AC82="",AB82,AC82))</f>
        <v>3461.9999999999995</v>
      </c>
      <c r="BC82" s="45">
        <f>+X82</f>
        <v>3199</v>
      </c>
      <c r="BD82" s="45"/>
      <c r="BE82" s="45">
        <f t="shared" si="47"/>
        <v>262.99999999999955</v>
      </c>
      <c r="BF82" s="39">
        <f t="shared" si="48"/>
        <v>7.5967648757943262E-2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64</v>
      </c>
      <c r="F83" s="36">
        <v>46250</v>
      </c>
      <c r="G83" s="24" t="s">
        <v>59</v>
      </c>
      <c r="H83" s="24">
        <v>59</v>
      </c>
      <c r="I83" s="24">
        <v>0</v>
      </c>
      <c r="J83" s="24" t="s">
        <v>64</v>
      </c>
      <c r="K83" s="25">
        <v>162004404</v>
      </c>
      <c r="L83" s="26">
        <v>46251</v>
      </c>
      <c r="M83" s="38">
        <v>46252</v>
      </c>
      <c r="N83" s="52">
        <v>16586</v>
      </c>
      <c r="O83" s="27"/>
      <c r="P83" s="27"/>
      <c r="Q83" s="27"/>
      <c r="R83" s="46">
        <v>5338.96</v>
      </c>
      <c r="S83" s="46">
        <v>1233.6599999999999</v>
      </c>
      <c r="T83" s="46">
        <f t="shared" si="7"/>
        <v>4105.3</v>
      </c>
      <c r="U83" s="46">
        <v>4118.8</v>
      </c>
      <c r="V83" s="46"/>
      <c r="W83" s="46"/>
      <c r="X83" s="46">
        <v>3974.2</v>
      </c>
      <c r="Y83" s="46"/>
      <c r="Z83" s="46">
        <f>+T83-X83</f>
        <v>131.10000000000036</v>
      </c>
      <c r="AA83" s="39">
        <f>Z83/T83</f>
        <v>3.1934328794485267E-2</v>
      </c>
      <c r="AB83" s="73">
        <v>4105.25</v>
      </c>
      <c r="AC83" s="73"/>
      <c r="AD83" s="73"/>
      <c r="AE83" s="39"/>
      <c r="AF83" s="74"/>
      <c r="AG83" s="74"/>
      <c r="AH83" s="75"/>
      <c r="AI83" s="75">
        <f t="shared" si="8"/>
        <v>0</v>
      </c>
      <c r="AJ83" s="32"/>
      <c r="AK83" s="32"/>
      <c r="AL83" s="32"/>
      <c r="AM83" s="33"/>
      <c r="AN83" s="33"/>
      <c r="AO83" s="33"/>
      <c r="AP83" s="34">
        <f t="shared" si="9"/>
        <v>0</v>
      </c>
      <c r="AQ83" s="32">
        <f t="shared" si="10"/>
        <v>0</v>
      </c>
      <c r="AR83" s="32">
        <f t="shared" si="11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>IF(AND(AB83="",AC83=""),T83,IF(AC83="",AB83,AC83))</f>
        <v>4105.25</v>
      </c>
      <c r="BC83" s="45">
        <f>+X83</f>
        <v>3974.2</v>
      </c>
      <c r="BD83" s="45"/>
      <c r="BE83" s="45">
        <f t="shared" si="47"/>
        <v>131.05000000000018</v>
      </c>
      <c r="BF83" s="39">
        <f t="shared" si="48"/>
        <v>3.1922538213263546E-2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46251</v>
      </c>
      <c r="G84" s="24" t="s">
        <v>59</v>
      </c>
      <c r="H84" s="24">
        <v>59</v>
      </c>
      <c r="I84" s="24">
        <v>0</v>
      </c>
      <c r="J84" s="24" t="s">
        <v>67</v>
      </c>
      <c r="K84" s="25">
        <v>162011719</v>
      </c>
      <c r="L84" s="26">
        <v>46252</v>
      </c>
      <c r="M84" s="38">
        <v>46253</v>
      </c>
      <c r="N84" s="52">
        <v>16589</v>
      </c>
      <c r="O84" s="27"/>
      <c r="P84" s="27"/>
      <c r="Q84" s="27"/>
      <c r="R84" s="46">
        <v>5367.81</v>
      </c>
      <c r="S84" s="46">
        <v>1236.5100000000002</v>
      </c>
      <c r="T84" s="46">
        <f t="shared" si="7"/>
        <v>4131.3</v>
      </c>
      <c r="U84" s="46">
        <v>4155.8</v>
      </c>
      <c r="V84" s="46"/>
      <c r="W84" s="46"/>
      <c r="X84" s="46">
        <v>4199.6000000000004</v>
      </c>
      <c r="Y84" s="46"/>
      <c r="Z84" s="46">
        <f>+T84-X84</f>
        <v>-68.300000000000182</v>
      </c>
      <c r="AA84" s="39">
        <f>Z84/T84</f>
        <v>-1.6532326386367532E-2</v>
      </c>
      <c r="AB84" s="73">
        <v>4152.76</v>
      </c>
      <c r="AC84" s="73"/>
      <c r="AD84" s="73"/>
      <c r="AE84" s="39"/>
      <c r="AF84" s="74"/>
      <c r="AG84" s="74"/>
      <c r="AH84" s="75"/>
      <c r="AI84" s="75">
        <f t="shared" si="8"/>
        <v>0</v>
      </c>
      <c r="AJ84" s="32"/>
      <c r="AK84" s="32"/>
      <c r="AL84" s="32"/>
      <c r="AM84" s="33"/>
      <c r="AN84" s="33"/>
      <c r="AO84" s="33"/>
      <c r="AP84" s="34">
        <f t="shared" si="9"/>
        <v>0</v>
      </c>
      <c r="AQ84" s="32">
        <f t="shared" si="10"/>
        <v>0</v>
      </c>
      <c r="AR84" s="32">
        <f t="shared" si="11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>IF(AND(AB84="",AC84=""),T84,IF(AC84="",AB84,AC84))</f>
        <v>4152.76</v>
      </c>
      <c r="BC84" s="45">
        <f>+X84</f>
        <v>4199.6000000000004</v>
      </c>
      <c r="BD84" s="45"/>
      <c r="BE84" s="45">
        <f t="shared" si="47"/>
        <v>-46.840000000000146</v>
      </c>
      <c r="BF84" s="39">
        <f t="shared" si="48"/>
        <v>-1.1279245610148467E-2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46252</v>
      </c>
      <c r="G85" s="24" t="s">
        <v>59</v>
      </c>
      <c r="H85" s="24">
        <v>57</v>
      </c>
      <c r="I85" s="24">
        <v>1</v>
      </c>
      <c r="J85" s="24" t="s">
        <v>64</v>
      </c>
      <c r="K85" s="25">
        <v>162004407</v>
      </c>
      <c r="L85" s="26">
        <v>46253</v>
      </c>
      <c r="M85" s="38">
        <v>46254</v>
      </c>
      <c r="N85" s="52">
        <v>16592</v>
      </c>
      <c r="O85" s="27"/>
      <c r="P85" s="27"/>
      <c r="Q85" s="27"/>
      <c r="R85" s="46">
        <v>5066.26</v>
      </c>
      <c r="S85" s="46">
        <v>1171.8600000000001</v>
      </c>
      <c r="T85" s="46">
        <f t="shared" si="7"/>
        <v>3894.4</v>
      </c>
      <c r="U85" s="46">
        <v>3908.8</v>
      </c>
      <c r="V85" s="46"/>
      <c r="W85" s="46"/>
      <c r="X85" s="46">
        <v>3755.4</v>
      </c>
      <c r="Y85" s="46"/>
      <c r="Z85" s="46">
        <f>+T85-X85</f>
        <v>139</v>
      </c>
      <c r="AA85" s="39">
        <f>Z85/T85</f>
        <v>3.5692276088742807E-2</v>
      </c>
      <c r="AB85" s="73">
        <v>3894.35</v>
      </c>
      <c r="AC85" s="73"/>
      <c r="AD85" s="73"/>
      <c r="AE85" s="39"/>
      <c r="AF85" s="74"/>
      <c r="AG85" s="74"/>
      <c r="AH85" s="75"/>
      <c r="AI85" s="75">
        <f t="shared" si="8"/>
        <v>0</v>
      </c>
      <c r="AJ85" s="32"/>
      <c r="AK85" s="32"/>
      <c r="AL85" s="32"/>
      <c r="AM85" s="33"/>
      <c r="AN85" s="33"/>
      <c r="AO85" s="33"/>
      <c r="AP85" s="34">
        <f t="shared" si="9"/>
        <v>0</v>
      </c>
      <c r="AQ85" s="32">
        <f t="shared" si="10"/>
        <v>0</v>
      </c>
      <c r="AR85" s="32">
        <f t="shared" si="11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>IF(AND(AB85="",AC85=""),T85,IF(AC85="",AB85,AC85))</f>
        <v>3894.35</v>
      </c>
      <c r="BC85" s="45">
        <f>+X85</f>
        <v>3755.4</v>
      </c>
      <c r="BD85" s="45"/>
      <c r="BE85" s="45">
        <f t="shared" si="47"/>
        <v>138.94999999999982</v>
      </c>
      <c r="BF85" s="39">
        <f t="shared" si="48"/>
        <v>3.5679895232837266E-2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63</v>
      </c>
      <c r="F86" s="36">
        <v>46253</v>
      </c>
      <c r="G86" s="24" t="s">
        <v>59</v>
      </c>
      <c r="H86" s="24">
        <v>59</v>
      </c>
      <c r="I86" s="24">
        <v>6</v>
      </c>
      <c r="J86" s="24" t="s">
        <v>63</v>
      </c>
      <c r="K86" s="25">
        <v>162006452</v>
      </c>
      <c r="L86" s="26">
        <v>46253</v>
      </c>
      <c r="M86" s="38">
        <v>46254</v>
      </c>
      <c r="N86" s="52">
        <v>16593</v>
      </c>
      <c r="O86" s="27"/>
      <c r="P86" s="27"/>
      <c r="Q86" s="27"/>
      <c r="R86" s="46">
        <v>4811.58</v>
      </c>
      <c r="S86" s="46">
        <v>1109.98</v>
      </c>
      <c r="T86" s="46">
        <f t="shared" si="7"/>
        <v>3701.6</v>
      </c>
      <c r="U86" s="46">
        <v>3703.4</v>
      </c>
      <c r="V86" s="46"/>
      <c r="W86" s="46"/>
      <c r="X86" s="46">
        <v>3674.2</v>
      </c>
      <c r="Y86" s="46"/>
      <c r="Z86" s="46">
        <f>+T86-X86</f>
        <v>27.400000000000091</v>
      </c>
      <c r="AA86" s="39">
        <f>Z86/T86</f>
        <v>7.4022044521288343E-3</v>
      </c>
      <c r="AB86" s="73">
        <v>3701.55</v>
      </c>
      <c r="AC86" s="73"/>
      <c r="AD86" s="73"/>
      <c r="AE86" s="39"/>
      <c r="AF86" s="74"/>
      <c r="AG86" s="74"/>
      <c r="AH86" s="75"/>
      <c r="AI86" s="75">
        <f t="shared" si="8"/>
        <v>0</v>
      </c>
      <c r="AJ86" s="32"/>
      <c r="AK86" s="32"/>
      <c r="AL86" s="32"/>
      <c r="AM86" s="33"/>
      <c r="AN86" s="33"/>
      <c r="AO86" s="33"/>
      <c r="AP86" s="34">
        <f t="shared" si="9"/>
        <v>0</v>
      </c>
      <c r="AQ86" s="32">
        <f t="shared" si="10"/>
        <v>0</v>
      </c>
      <c r="AR86" s="32">
        <f t="shared" si="11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>IF(AND(AB86="",AC86=""),T86,IF(AC86="",AB86,AC86))</f>
        <v>3701.55</v>
      </c>
      <c r="BC86" s="45">
        <f>+X86</f>
        <v>3674.2</v>
      </c>
      <c r="BD86" s="45"/>
      <c r="BE86" s="45">
        <f t="shared" si="47"/>
        <v>27.350000000000364</v>
      </c>
      <c r="BF86" s="39">
        <f t="shared" si="48"/>
        <v>7.3887965852143999E-3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63</v>
      </c>
      <c r="F87" s="36">
        <v>46253</v>
      </c>
      <c r="G87" s="24" t="s">
        <v>59</v>
      </c>
      <c r="H87" s="24">
        <v>58</v>
      </c>
      <c r="I87" s="24">
        <v>2</v>
      </c>
      <c r="J87" s="24" t="s">
        <v>63</v>
      </c>
      <c r="K87" s="25">
        <v>162006453</v>
      </c>
      <c r="L87" s="26">
        <v>46254</v>
      </c>
      <c r="M87" s="38">
        <v>46254</v>
      </c>
      <c r="N87" s="52">
        <v>16594</v>
      </c>
      <c r="O87" s="27"/>
      <c r="P87" s="27"/>
      <c r="Q87" s="27"/>
      <c r="R87" s="46">
        <v>5082.71</v>
      </c>
      <c r="S87" s="46">
        <v>1171.9099999999999</v>
      </c>
      <c r="T87" s="46">
        <f t="shared" ref="T87" si="49">+R87-S87</f>
        <v>3910.8</v>
      </c>
      <c r="U87" s="46">
        <v>3912.2</v>
      </c>
      <c r="V87" s="46"/>
      <c r="W87" s="46"/>
      <c r="X87" s="46">
        <v>3805.2</v>
      </c>
      <c r="Y87" s="46"/>
      <c r="Z87" s="46">
        <f>+T87-X87</f>
        <v>105.60000000000036</v>
      </c>
      <c r="AA87" s="39">
        <f>Z87/T87</f>
        <v>2.7002147898128354E-2</v>
      </c>
      <c r="AB87" s="73">
        <v>3910.8</v>
      </c>
      <c r="AC87" s="73"/>
      <c r="AD87" s="73"/>
      <c r="AE87" s="39"/>
      <c r="AF87" s="74"/>
      <c r="AG87" s="74"/>
      <c r="AH87" s="75"/>
      <c r="AI87" s="75">
        <f t="shared" ref="AI87" si="50">+AG87+AH87</f>
        <v>0</v>
      </c>
      <c r="AJ87" s="32"/>
      <c r="AK87" s="32"/>
      <c r="AL87" s="32"/>
      <c r="AM87" s="33"/>
      <c r="AN87" s="33"/>
      <c r="AO87" s="33"/>
      <c r="AP87" s="34">
        <f t="shared" ref="AP87" si="51">ROUNDUP((AO87-AM87+(AO87&lt;AM87))*24,0)</f>
        <v>0</v>
      </c>
      <c r="AQ87" s="32">
        <f t="shared" ref="AQ87" si="52">IF(AP87&gt;5,(AP87-5),0)</f>
        <v>0</v>
      </c>
      <c r="AR87" s="32">
        <f t="shared" ref="AR87" si="53">+AQ87*8850</f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>IF(AND(AB87="",AC87=""),T87,IF(AC87="",AB87,AC87))</f>
        <v>3910.8</v>
      </c>
      <c r="BC87" s="45">
        <f>+X87</f>
        <v>3805.2</v>
      </c>
      <c r="BD87" s="45"/>
      <c r="BE87" s="45">
        <f t="shared" si="47"/>
        <v>105.60000000000036</v>
      </c>
      <c r="BF87" s="39">
        <f t="shared" si="48"/>
        <v>2.7002147898128354E-2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65</v>
      </c>
      <c r="F88" s="36">
        <v>46254</v>
      </c>
      <c r="G88" s="24" t="s">
        <v>59</v>
      </c>
      <c r="H88" s="24">
        <v>59</v>
      </c>
      <c r="I88" s="24">
        <v>0</v>
      </c>
      <c r="J88" s="24" t="s">
        <v>67</v>
      </c>
      <c r="K88" s="25">
        <v>162011721</v>
      </c>
      <c r="L88" s="26">
        <v>46254</v>
      </c>
      <c r="M88" s="38">
        <v>46256</v>
      </c>
      <c r="N88" s="52">
        <v>16599</v>
      </c>
      <c r="O88" s="27"/>
      <c r="P88" s="27"/>
      <c r="Q88" s="27"/>
      <c r="R88" s="46">
        <v>5183.7299999999996</v>
      </c>
      <c r="S88" s="46">
        <v>1199.2299999999996</v>
      </c>
      <c r="T88" s="46">
        <f t="shared" si="0"/>
        <v>3984.5</v>
      </c>
      <c r="U88" s="46">
        <v>4010.2</v>
      </c>
      <c r="V88" s="46"/>
      <c r="W88" s="46"/>
      <c r="X88" s="46">
        <v>4055.6</v>
      </c>
      <c r="Y88" s="46"/>
      <c r="Z88" s="46">
        <f>+T88-X88</f>
        <v>-71.099999999999909</v>
      </c>
      <c r="AA88" s="39">
        <f>Z88/T88</f>
        <v>-1.7844146066005751E-2</v>
      </c>
      <c r="AB88" s="73">
        <v>4007.28</v>
      </c>
      <c r="AC88" s="73"/>
      <c r="AD88" s="73"/>
      <c r="AE88" s="39"/>
      <c r="AF88" s="74"/>
      <c r="AG88" s="74"/>
      <c r="AH88" s="75"/>
      <c r="AI88" s="75">
        <f t="shared" si="1"/>
        <v>0</v>
      </c>
      <c r="AJ88" s="32"/>
      <c r="AK88" s="32"/>
      <c r="AL88" s="32"/>
      <c r="AM88" s="33"/>
      <c r="AN88" s="33"/>
      <c r="AO88" s="33"/>
      <c r="AP88" s="34">
        <f t="shared" si="2"/>
        <v>0</v>
      </c>
      <c r="AQ88" s="32">
        <f t="shared" si="3"/>
        <v>0</v>
      </c>
      <c r="AR88" s="32">
        <f t="shared" si="4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>IF(AND(AB88="",AC88=""),T88,IF(AC88="",AB88,AC88))</f>
        <v>4007.28</v>
      </c>
      <c r="BC88" s="45">
        <f>+X88</f>
        <v>4055.6</v>
      </c>
      <c r="BD88" s="45"/>
      <c r="BE88" s="45">
        <f t="shared" ref="BE88:BE116" si="54">+BB88-BC88</f>
        <v>-48.319999999999709</v>
      </c>
      <c r="BF88" s="39">
        <f t="shared" ref="BF88:BF117" si="55">+BE88/BB88</f>
        <v>-1.2058054341099127E-2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65</v>
      </c>
      <c r="F89" s="36">
        <v>46255</v>
      </c>
      <c r="G89" s="24" t="s">
        <v>59</v>
      </c>
      <c r="H89" s="24">
        <v>58</v>
      </c>
      <c r="I89" s="24">
        <v>1</v>
      </c>
      <c r="J89" s="24" t="s">
        <v>67</v>
      </c>
      <c r="K89" s="25">
        <v>162011724</v>
      </c>
      <c r="L89" s="26">
        <v>46256</v>
      </c>
      <c r="M89" s="38">
        <v>46257</v>
      </c>
      <c r="N89" s="52">
        <v>16606</v>
      </c>
      <c r="O89" s="27"/>
      <c r="P89" s="27"/>
      <c r="Q89" s="27"/>
      <c r="R89" s="46">
        <v>4996.3999999999996</v>
      </c>
      <c r="S89" s="46">
        <v>1208.6999999999998</v>
      </c>
      <c r="T89" s="46">
        <f t="shared" ref="T89:T115" si="56">+R89-S89</f>
        <v>3787.7</v>
      </c>
      <c r="U89" s="46">
        <v>3965.6</v>
      </c>
      <c r="V89" s="46"/>
      <c r="W89" s="46"/>
      <c r="X89" s="46">
        <v>3917.2</v>
      </c>
      <c r="Y89" s="46"/>
      <c r="Z89" s="46">
        <f>+T89-X89</f>
        <v>-129.5</v>
      </c>
      <c r="AA89" s="39">
        <f>Z89/T89</f>
        <v>-3.4189613749768991E-2</v>
      </c>
      <c r="AB89" s="73">
        <v>3796.25</v>
      </c>
      <c r="AC89" s="73"/>
      <c r="AD89" s="73"/>
      <c r="AE89" s="39"/>
      <c r="AF89" s="74"/>
      <c r="AG89" s="74"/>
      <c r="AH89" s="75"/>
      <c r="AI89" s="75">
        <f t="shared" ref="AI89:AI115" si="57">+AG89+AH89</f>
        <v>0</v>
      </c>
      <c r="AJ89" s="32"/>
      <c r="AK89" s="32"/>
      <c r="AL89" s="32"/>
      <c r="AM89" s="33"/>
      <c r="AN89" s="33"/>
      <c r="AO89" s="33"/>
      <c r="AP89" s="34">
        <f t="shared" ref="AP89:AP115" si="58">ROUNDUP((AO89-AM89+(AO89&lt;AM89))*24,0)</f>
        <v>0</v>
      </c>
      <c r="AQ89" s="32">
        <f t="shared" ref="AQ89:AQ115" si="59">IF(AP89&gt;5,(AP89-5),0)</f>
        <v>0</v>
      </c>
      <c r="AR89" s="32">
        <f t="shared" ref="AR89:AR115" si="60">+AQ89*8850</f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>IF(AND(AB89="",AC89=""),T89,IF(AC89="",AB89,AC89))</f>
        <v>3796.25</v>
      </c>
      <c r="BC89" s="45">
        <f>+X89</f>
        <v>3917.2</v>
      </c>
      <c r="BD89" s="45"/>
      <c r="BE89" s="45">
        <f t="shared" ref="BE89:BE115" si="61">+BB89-BC89</f>
        <v>-120.94999999999982</v>
      </c>
      <c r="BF89" s="39">
        <f t="shared" ref="BF89:BF115" si="62">+BE89/BB89</f>
        <v>-3.1860388541323628E-2</v>
      </c>
    </row>
    <row r="90" spans="1:58" s="20" customFormat="1" ht="12.75" x14ac:dyDescent="0.2">
      <c r="A90" s="53">
        <f>IF(ISBLANK(F90),"",COUNTA($F$6:F90))</f>
        <v>85</v>
      </c>
      <c r="B90" s="54" t="s">
        <v>60</v>
      </c>
      <c r="C90" s="54" t="s">
        <v>61</v>
      </c>
      <c r="D90" s="55"/>
      <c r="E90" s="56" t="s">
        <v>64</v>
      </c>
      <c r="F90" s="57">
        <v>46255</v>
      </c>
      <c r="G90" s="58" t="s">
        <v>59</v>
      </c>
      <c r="H90" s="58">
        <v>58</v>
      </c>
      <c r="I90" s="58">
        <v>1</v>
      </c>
      <c r="J90" s="58" t="s">
        <v>64</v>
      </c>
      <c r="K90" s="59">
        <v>162004411</v>
      </c>
      <c r="L90" s="60">
        <v>46255</v>
      </c>
      <c r="M90" s="61"/>
      <c r="N90" s="62"/>
      <c r="O90" s="63"/>
      <c r="P90" s="63"/>
      <c r="Q90" s="63"/>
      <c r="R90" s="64"/>
      <c r="S90" s="64"/>
      <c r="T90" s="64">
        <f t="shared" si="56"/>
        <v>0</v>
      </c>
      <c r="U90" s="64"/>
      <c r="V90" s="64"/>
      <c r="W90" s="64"/>
      <c r="X90" s="64"/>
      <c r="Y90" s="64"/>
      <c r="Z90" s="64">
        <f>+T90-X90</f>
        <v>0</v>
      </c>
      <c r="AA90" s="65" t="e">
        <f>Z90/T90</f>
        <v>#DIV/0!</v>
      </c>
      <c r="AB90" s="66"/>
      <c r="AC90" s="66"/>
      <c r="AD90" s="66"/>
      <c r="AE90" s="65"/>
      <c r="AF90" s="67"/>
      <c r="AG90" s="67"/>
      <c r="AH90" s="68"/>
      <c r="AI90" s="68">
        <f t="shared" si="57"/>
        <v>0</v>
      </c>
      <c r="AJ90" s="69"/>
      <c r="AK90" s="69"/>
      <c r="AL90" s="69"/>
      <c r="AM90" s="70"/>
      <c r="AN90" s="70"/>
      <c r="AO90" s="70"/>
      <c r="AP90" s="71">
        <f t="shared" si="58"/>
        <v>0</v>
      </c>
      <c r="AQ90" s="69">
        <f t="shared" si="59"/>
        <v>0</v>
      </c>
      <c r="AR90" s="69">
        <f t="shared" si="60"/>
        <v>0</v>
      </c>
      <c r="AS90" s="69"/>
      <c r="AT90" s="69"/>
      <c r="AU90" s="69"/>
      <c r="AV90" s="69"/>
      <c r="AW90" s="69"/>
      <c r="AX90" s="69"/>
      <c r="AY90" s="69"/>
      <c r="AZ90" s="72"/>
      <c r="BB90" s="45">
        <f>IF(AND(AB90="",AC90=""),T90,IF(AC90="",AB90,AC90))</f>
        <v>0</v>
      </c>
      <c r="BC90" s="45">
        <f>+X90</f>
        <v>0</v>
      </c>
      <c r="BD90" s="45"/>
      <c r="BE90" s="45">
        <f t="shared" si="61"/>
        <v>0</v>
      </c>
      <c r="BF90" s="39" t="e">
        <f t="shared" si="62"/>
        <v>#DIV/0!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63</v>
      </c>
      <c r="F91" s="36">
        <v>46256</v>
      </c>
      <c r="G91" s="24" t="s">
        <v>59</v>
      </c>
      <c r="H91" s="24">
        <v>58</v>
      </c>
      <c r="I91" s="24">
        <v>0</v>
      </c>
      <c r="J91" s="24" t="s">
        <v>63</v>
      </c>
      <c r="K91" s="25">
        <v>162006457</v>
      </c>
      <c r="L91" s="26">
        <v>46256</v>
      </c>
      <c r="M91" s="38">
        <v>46258</v>
      </c>
      <c r="N91" s="52">
        <v>16609</v>
      </c>
      <c r="O91" s="27"/>
      <c r="P91" s="27"/>
      <c r="Q91" s="27"/>
      <c r="R91" s="46">
        <v>5260.17</v>
      </c>
      <c r="S91" s="46">
        <v>1212.27</v>
      </c>
      <c r="T91" s="46">
        <f t="shared" si="56"/>
        <v>4047.9</v>
      </c>
      <c r="U91" s="46">
        <v>4051</v>
      </c>
      <c r="V91" s="46"/>
      <c r="W91" s="46"/>
      <c r="X91" s="46">
        <v>4050.4</v>
      </c>
      <c r="Y91" s="46"/>
      <c r="Z91" s="46">
        <f>+T91-X91</f>
        <v>-2.5</v>
      </c>
      <c r="AA91" s="39">
        <f>Z91/T91</f>
        <v>-6.1760418982682375E-4</v>
      </c>
      <c r="AB91" s="73">
        <v>4047.85</v>
      </c>
      <c r="AC91" s="73"/>
      <c r="AD91" s="73"/>
      <c r="AE91" s="39"/>
      <c r="AF91" s="74"/>
      <c r="AG91" s="74"/>
      <c r="AH91" s="75"/>
      <c r="AI91" s="75">
        <f t="shared" si="57"/>
        <v>0</v>
      </c>
      <c r="AJ91" s="32"/>
      <c r="AK91" s="32"/>
      <c r="AL91" s="32"/>
      <c r="AM91" s="33"/>
      <c r="AN91" s="33"/>
      <c r="AO91" s="33"/>
      <c r="AP91" s="34">
        <f t="shared" si="58"/>
        <v>0</v>
      </c>
      <c r="AQ91" s="32">
        <f t="shared" si="59"/>
        <v>0</v>
      </c>
      <c r="AR91" s="32">
        <f t="shared" si="60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>IF(AND(AB91="",AC91=""),T91,IF(AC91="",AB91,AC91))</f>
        <v>4047.85</v>
      </c>
      <c r="BC91" s="45">
        <f>+X91</f>
        <v>4050.4</v>
      </c>
      <c r="BD91" s="45"/>
      <c r="BE91" s="45">
        <f t="shared" si="61"/>
        <v>-2.5500000000001819</v>
      </c>
      <c r="BF91" s="39">
        <f t="shared" si="62"/>
        <v>-6.2996405499220133E-4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65</v>
      </c>
      <c r="F92" s="36">
        <v>46256</v>
      </c>
      <c r="G92" s="24" t="s">
        <v>59</v>
      </c>
      <c r="H92" s="24">
        <v>58</v>
      </c>
      <c r="I92" s="24">
        <v>0</v>
      </c>
      <c r="J92" s="24" t="s">
        <v>67</v>
      </c>
      <c r="K92" s="25">
        <v>162011726</v>
      </c>
      <c r="L92" s="26">
        <v>46256</v>
      </c>
      <c r="M92" s="38">
        <v>46258</v>
      </c>
      <c r="N92" s="52">
        <v>16610</v>
      </c>
      <c r="O92" s="27"/>
      <c r="P92" s="27"/>
      <c r="Q92" s="27"/>
      <c r="R92" s="46">
        <v>5261.8</v>
      </c>
      <c r="S92" s="46">
        <v>1219.6000000000004</v>
      </c>
      <c r="T92" s="46">
        <f t="shared" si="56"/>
        <v>4042.2</v>
      </c>
      <c r="U92" s="46">
        <v>4074.2</v>
      </c>
      <c r="V92" s="46"/>
      <c r="W92" s="46"/>
      <c r="X92" s="46">
        <v>4037.2</v>
      </c>
      <c r="Y92" s="46"/>
      <c r="Z92" s="46">
        <f>+T92-X92</f>
        <v>5</v>
      </c>
      <c r="AA92" s="39">
        <f>Z92/T92</f>
        <v>1.2369501756469251E-3</v>
      </c>
      <c r="AB92" s="73">
        <v>4046.23</v>
      </c>
      <c r="AC92" s="73"/>
      <c r="AD92" s="73"/>
      <c r="AE92" s="39"/>
      <c r="AF92" s="74"/>
      <c r="AG92" s="74"/>
      <c r="AH92" s="75"/>
      <c r="AI92" s="75">
        <f t="shared" si="57"/>
        <v>0</v>
      </c>
      <c r="AJ92" s="32"/>
      <c r="AK92" s="32"/>
      <c r="AL92" s="32"/>
      <c r="AM92" s="33"/>
      <c r="AN92" s="33"/>
      <c r="AO92" s="33"/>
      <c r="AP92" s="34">
        <f t="shared" si="58"/>
        <v>0</v>
      </c>
      <c r="AQ92" s="32">
        <f t="shared" si="59"/>
        <v>0</v>
      </c>
      <c r="AR92" s="32">
        <f t="shared" si="60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>IF(AND(AB92="",AC92=""),T92,IF(AC92="",AB92,AC92))</f>
        <v>4046.23</v>
      </c>
      <c r="BC92" s="45">
        <f>+X92</f>
        <v>4037.2</v>
      </c>
      <c r="BD92" s="45"/>
      <c r="BE92" s="45">
        <f t="shared" si="61"/>
        <v>9.0300000000002001</v>
      </c>
      <c r="BF92" s="39">
        <f t="shared" si="62"/>
        <v>2.2317070458180086E-3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66</v>
      </c>
      <c r="F93" s="36">
        <v>46256</v>
      </c>
      <c r="G93" s="24" t="s">
        <v>59</v>
      </c>
      <c r="H93" s="24">
        <v>59</v>
      </c>
      <c r="I93" s="24">
        <v>0</v>
      </c>
      <c r="J93" s="24" t="s">
        <v>66</v>
      </c>
      <c r="K93" s="25">
        <v>162003211</v>
      </c>
      <c r="L93" s="26">
        <v>46257</v>
      </c>
      <c r="M93" s="38">
        <v>46258</v>
      </c>
      <c r="N93" s="52">
        <v>16612</v>
      </c>
      <c r="O93" s="27"/>
      <c r="P93" s="27"/>
      <c r="Q93" s="27"/>
      <c r="R93" s="46">
        <v>5349.67</v>
      </c>
      <c r="S93" s="46">
        <v>1232.4700000000003</v>
      </c>
      <c r="T93" s="46">
        <f t="shared" si="56"/>
        <v>4117.2</v>
      </c>
      <c r="U93" s="46">
        <v>4117.3999999999996</v>
      </c>
      <c r="V93" s="46"/>
      <c r="W93" s="46"/>
      <c r="X93" s="46">
        <v>4023.4</v>
      </c>
      <c r="Y93" s="46"/>
      <c r="Z93" s="46">
        <f>+T93-X93</f>
        <v>93.799999999999727</v>
      </c>
      <c r="AA93" s="39">
        <f>Z93/T93</f>
        <v>2.2782473525697011E-2</v>
      </c>
      <c r="AB93" s="73">
        <v>4117.16</v>
      </c>
      <c r="AC93" s="73"/>
      <c r="AD93" s="73"/>
      <c r="AE93" s="39"/>
      <c r="AF93" s="74"/>
      <c r="AG93" s="74"/>
      <c r="AH93" s="75"/>
      <c r="AI93" s="75">
        <f t="shared" si="57"/>
        <v>0</v>
      </c>
      <c r="AJ93" s="32"/>
      <c r="AK93" s="32"/>
      <c r="AL93" s="32"/>
      <c r="AM93" s="33"/>
      <c r="AN93" s="33"/>
      <c r="AO93" s="33"/>
      <c r="AP93" s="34">
        <f t="shared" si="58"/>
        <v>0</v>
      </c>
      <c r="AQ93" s="32">
        <f t="shared" si="59"/>
        <v>0</v>
      </c>
      <c r="AR93" s="32">
        <f t="shared" si="60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>IF(AND(AB93="",AC93=""),T93,IF(AC93="",AB93,AC93))</f>
        <v>4117.16</v>
      </c>
      <c r="BC93" s="45">
        <f>+X93</f>
        <v>4023.4</v>
      </c>
      <c r="BD93" s="45"/>
      <c r="BE93" s="45">
        <f t="shared" si="61"/>
        <v>93.759999999999764</v>
      </c>
      <c r="BF93" s="39">
        <f t="shared" si="62"/>
        <v>2.2772979432424238E-2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46256</v>
      </c>
      <c r="G94" s="24" t="s">
        <v>59</v>
      </c>
      <c r="H94" s="24">
        <v>58</v>
      </c>
      <c r="I94" s="24">
        <v>4</v>
      </c>
      <c r="J94" s="24" t="s">
        <v>64</v>
      </c>
      <c r="K94" s="25">
        <v>162004413</v>
      </c>
      <c r="L94" s="26">
        <v>46257</v>
      </c>
      <c r="M94" s="38">
        <v>46258</v>
      </c>
      <c r="N94" s="52">
        <v>16613</v>
      </c>
      <c r="O94" s="27"/>
      <c r="P94" s="27"/>
      <c r="Q94" s="27"/>
      <c r="R94" s="46">
        <v>4882.43</v>
      </c>
      <c r="S94" s="46">
        <v>1127.5300000000002</v>
      </c>
      <c r="T94" s="46">
        <f t="shared" si="56"/>
        <v>3754.9</v>
      </c>
      <c r="U94" s="46">
        <v>3768.4</v>
      </c>
      <c r="V94" s="46"/>
      <c r="W94" s="46"/>
      <c r="X94" s="46">
        <v>3746.2</v>
      </c>
      <c r="Y94" s="46"/>
      <c r="Z94" s="46">
        <f>+T94-X94</f>
        <v>8.7000000000002728</v>
      </c>
      <c r="AA94" s="39">
        <f>Z94/T94</f>
        <v>2.3169724892807457E-3</v>
      </c>
      <c r="AB94" s="73">
        <v>3754.85</v>
      </c>
      <c r="AC94" s="73"/>
      <c r="AD94" s="73"/>
      <c r="AE94" s="39"/>
      <c r="AF94" s="74"/>
      <c r="AG94" s="74"/>
      <c r="AH94" s="75"/>
      <c r="AI94" s="75">
        <f t="shared" si="57"/>
        <v>0</v>
      </c>
      <c r="AJ94" s="32"/>
      <c r="AK94" s="32"/>
      <c r="AL94" s="32"/>
      <c r="AM94" s="33"/>
      <c r="AN94" s="33"/>
      <c r="AO94" s="33"/>
      <c r="AP94" s="34">
        <f t="shared" si="58"/>
        <v>0</v>
      </c>
      <c r="AQ94" s="32">
        <f t="shared" si="59"/>
        <v>0</v>
      </c>
      <c r="AR94" s="32">
        <f t="shared" si="60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>IF(AND(AB94="",AC94=""),T94,IF(AC94="",AB94,AC94))</f>
        <v>3754.85</v>
      </c>
      <c r="BC94" s="45">
        <f>+X94</f>
        <v>3746.2</v>
      </c>
      <c r="BD94" s="45"/>
      <c r="BE94" s="45">
        <f t="shared" si="61"/>
        <v>8.6500000000000909</v>
      </c>
      <c r="BF94" s="39">
        <f t="shared" si="62"/>
        <v>2.3036872311810301E-3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64</v>
      </c>
      <c r="F95" s="36">
        <v>46257</v>
      </c>
      <c r="G95" s="24" t="s">
        <v>59</v>
      </c>
      <c r="H95" s="24">
        <v>59</v>
      </c>
      <c r="I95" s="24">
        <v>0</v>
      </c>
      <c r="J95" s="24" t="s">
        <v>64</v>
      </c>
      <c r="K95" s="25">
        <v>162004415</v>
      </c>
      <c r="L95" s="26">
        <v>46258</v>
      </c>
      <c r="M95" s="38">
        <v>46259</v>
      </c>
      <c r="N95" s="52">
        <v>16615</v>
      </c>
      <c r="O95" s="27"/>
      <c r="P95" s="27"/>
      <c r="Q95" s="27"/>
      <c r="R95" s="46">
        <v>5334.45</v>
      </c>
      <c r="S95" s="46">
        <v>1233.6499999999996</v>
      </c>
      <c r="T95" s="46">
        <f t="shared" ref="T95:T114" si="63">+R95-S95</f>
        <v>4100.8</v>
      </c>
      <c r="U95" s="46">
        <v>4117.3999999999996</v>
      </c>
      <c r="V95" s="46"/>
      <c r="W95" s="46"/>
      <c r="X95" s="46">
        <v>4060.8</v>
      </c>
      <c r="Y95" s="46"/>
      <c r="Z95" s="46">
        <f>+T95-X95</f>
        <v>40</v>
      </c>
      <c r="AA95" s="39">
        <f>Z95/T95</f>
        <v>9.7541943035505257E-3</v>
      </c>
      <c r="AB95" s="73">
        <v>4100.8</v>
      </c>
      <c r="AC95" s="73"/>
      <c r="AD95" s="73"/>
      <c r="AE95" s="39"/>
      <c r="AF95" s="74"/>
      <c r="AG95" s="74"/>
      <c r="AH95" s="75"/>
      <c r="AI95" s="75">
        <f t="shared" ref="AI95:AI114" si="64">+AG95+AH95</f>
        <v>0</v>
      </c>
      <c r="AJ95" s="32"/>
      <c r="AK95" s="32"/>
      <c r="AL95" s="32"/>
      <c r="AM95" s="33"/>
      <c r="AN95" s="33"/>
      <c r="AO95" s="33"/>
      <c r="AP95" s="34">
        <f t="shared" ref="AP95:AP114" si="65">ROUNDUP((AO95-AM95+(AO95&lt;AM95))*24,0)</f>
        <v>0</v>
      </c>
      <c r="AQ95" s="32">
        <f t="shared" ref="AQ95:AQ114" si="66">IF(AP95&gt;5,(AP95-5),0)</f>
        <v>0</v>
      </c>
      <c r="AR95" s="32">
        <f t="shared" ref="AR95:AR114" si="67">+AQ95*8850</f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>IF(AND(AB95="",AC95=""),T95,IF(AC95="",AB95,AC95))</f>
        <v>4100.8</v>
      </c>
      <c r="BC95" s="45">
        <f>+X95</f>
        <v>4060.8</v>
      </c>
      <c r="BD95" s="45"/>
      <c r="BE95" s="45">
        <f t="shared" ref="BE95:BE114" si="68">+BB95-BC95</f>
        <v>40</v>
      </c>
      <c r="BF95" s="39">
        <f t="shared" ref="BF95:BF114" si="69">+BE95/BB95</f>
        <v>9.7541943035505257E-3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66</v>
      </c>
      <c r="F96" s="36">
        <v>46257</v>
      </c>
      <c r="G96" s="24" t="s">
        <v>59</v>
      </c>
      <c r="H96" s="24">
        <v>58</v>
      </c>
      <c r="I96" s="24">
        <v>7</v>
      </c>
      <c r="J96" s="24" t="s">
        <v>66</v>
      </c>
      <c r="K96" s="25">
        <v>162003213</v>
      </c>
      <c r="L96" s="26">
        <v>46257</v>
      </c>
      <c r="M96" s="38">
        <v>46259</v>
      </c>
      <c r="N96" s="52">
        <v>16619</v>
      </c>
      <c r="O96" s="27"/>
      <c r="P96" s="27"/>
      <c r="Q96" s="27"/>
      <c r="R96" s="46">
        <v>4625.7</v>
      </c>
      <c r="S96" s="46">
        <v>1069.5</v>
      </c>
      <c r="T96" s="46">
        <f t="shared" si="63"/>
        <v>3556.2</v>
      </c>
      <c r="U96" s="46">
        <v>3556.4</v>
      </c>
      <c r="V96" s="46"/>
      <c r="W96" s="46"/>
      <c r="X96" s="46">
        <v>3579.4</v>
      </c>
      <c r="Y96" s="46"/>
      <c r="Z96" s="46">
        <f>+T96-X96</f>
        <v>-23.200000000000273</v>
      </c>
      <c r="AA96" s="39">
        <f>Z96/T96</f>
        <v>-6.5238175580676775E-3</v>
      </c>
      <c r="AB96" s="73">
        <v>3656.72</v>
      </c>
      <c r="AC96" s="73"/>
      <c r="AD96" s="73"/>
      <c r="AE96" s="39"/>
      <c r="AF96" s="74"/>
      <c r="AG96" s="74"/>
      <c r="AH96" s="75"/>
      <c r="AI96" s="75">
        <f t="shared" si="64"/>
        <v>0</v>
      </c>
      <c r="AJ96" s="32"/>
      <c r="AK96" s="32"/>
      <c r="AL96" s="32"/>
      <c r="AM96" s="33"/>
      <c r="AN96" s="33"/>
      <c r="AO96" s="33"/>
      <c r="AP96" s="34">
        <f t="shared" si="65"/>
        <v>0</v>
      </c>
      <c r="AQ96" s="32">
        <f t="shared" si="66"/>
        <v>0</v>
      </c>
      <c r="AR96" s="32">
        <f t="shared" si="67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>IF(AND(AB96="",AC96=""),T96,IF(AC96="",AB96,AC96))</f>
        <v>3656.72</v>
      </c>
      <c r="BC96" s="45">
        <f>+X96</f>
        <v>3579.4</v>
      </c>
      <c r="BD96" s="45"/>
      <c r="BE96" s="45">
        <f t="shared" si="68"/>
        <v>77.319999999999709</v>
      </c>
      <c r="BF96" s="39">
        <f t="shared" si="69"/>
        <v>2.1144632348115172E-2</v>
      </c>
    </row>
    <row r="97" spans="1:58" s="91" customFormat="1" ht="12.75" x14ac:dyDescent="0.2">
      <c r="A97" s="76">
        <f>IF(ISBLANK(F97),"",COUNTA($F$6:F97))</f>
        <v>92</v>
      </c>
      <c r="B97" s="77" t="s">
        <v>60</v>
      </c>
      <c r="C97" s="77" t="s">
        <v>61</v>
      </c>
      <c r="D97" s="78"/>
      <c r="E97" s="79" t="s">
        <v>63</v>
      </c>
      <c r="F97" s="80">
        <v>46257</v>
      </c>
      <c r="G97" s="81" t="s">
        <v>59</v>
      </c>
      <c r="H97" s="81">
        <v>59</v>
      </c>
      <c r="I97" s="81">
        <v>3</v>
      </c>
      <c r="J97" s="81" t="s">
        <v>63</v>
      </c>
      <c r="K97" s="82">
        <v>162006463</v>
      </c>
      <c r="L97" s="83">
        <v>46258</v>
      </c>
      <c r="M97" s="84">
        <v>46260</v>
      </c>
      <c r="N97" s="85">
        <v>16620</v>
      </c>
      <c r="O97" s="86"/>
      <c r="P97" s="86"/>
      <c r="Q97" s="86"/>
      <c r="R97" s="46">
        <v>5067.75</v>
      </c>
      <c r="S97" s="46">
        <v>1175.8499999999999</v>
      </c>
      <c r="T97" s="46">
        <f t="shared" si="63"/>
        <v>3891.9</v>
      </c>
      <c r="U97" s="46">
        <v>3905.2</v>
      </c>
      <c r="V97" s="46"/>
      <c r="W97" s="46"/>
      <c r="X97" s="46">
        <v>4017</v>
      </c>
      <c r="Y97" s="46"/>
      <c r="Z97" s="46">
        <f>+T97-X97</f>
        <v>-125.09999999999991</v>
      </c>
      <c r="AA97" s="39">
        <f>Z97/T97</f>
        <v>-3.2143683033993654E-2</v>
      </c>
      <c r="AB97" s="73">
        <v>3891.25</v>
      </c>
      <c r="AC97" s="73"/>
      <c r="AD97" s="73"/>
      <c r="AE97" s="39"/>
      <c r="AF97" s="74"/>
      <c r="AG97" s="74"/>
      <c r="AH97" s="75"/>
      <c r="AI97" s="75">
        <f t="shared" si="64"/>
        <v>0</v>
      </c>
      <c r="AJ97" s="87"/>
      <c r="AK97" s="87"/>
      <c r="AL97" s="87"/>
      <c r="AM97" s="88"/>
      <c r="AN97" s="88"/>
      <c r="AO97" s="88"/>
      <c r="AP97" s="89">
        <f t="shared" si="65"/>
        <v>0</v>
      </c>
      <c r="AQ97" s="87">
        <f t="shared" si="66"/>
        <v>0</v>
      </c>
      <c r="AR97" s="87">
        <f t="shared" si="67"/>
        <v>0</v>
      </c>
      <c r="AS97" s="87"/>
      <c r="AT97" s="87"/>
      <c r="AU97" s="87"/>
      <c r="AV97" s="87"/>
      <c r="AW97" s="87"/>
      <c r="AX97" s="87"/>
      <c r="AY97" s="87"/>
      <c r="AZ97" s="90"/>
      <c r="BB97" s="92">
        <f>IF(AND(AB97="",AC97=""),T97,IF(AC97="",AB97,AC97))</f>
        <v>3891.25</v>
      </c>
      <c r="BC97" s="92">
        <f>+X97</f>
        <v>4017</v>
      </c>
      <c r="BD97" s="92"/>
      <c r="BE97" s="92">
        <f t="shared" si="68"/>
        <v>-125.75</v>
      </c>
      <c r="BF97" s="39">
        <f t="shared" si="69"/>
        <v>-3.2316093800192743E-2</v>
      </c>
    </row>
    <row r="98" spans="1:58" s="91" customFormat="1" ht="12.75" x14ac:dyDescent="0.2">
      <c r="A98" s="76">
        <f>IF(ISBLANK(F98),"",COUNTA($F$6:F98))</f>
        <v>93</v>
      </c>
      <c r="B98" s="77" t="s">
        <v>60</v>
      </c>
      <c r="C98" s="77" t="s">
        <v>61</v>
      </c>
      <c r="D98" s="78"/>
      <c r="E98" s="79" t="s">
        <v>65</v>
      </c>
      <c r="F98" s="80">
        <v>46259</v>
      </c>
      <c r="G98" s="81" t="s">
        <v>59</v>
      </c>
      <c r="H98" s="81">
        <v>58</v>
      </c>
      <c r="I98" s="81">
        <v>3</v>
      </c>
      <c r="J98" s="81" t="s">
        <v>67</v>
      </c>
      <c r="K98" s="82">
        <v>162011729</v>
      </c>
      <c r="L98" s="83">
        <v>46259</v>
      </c>
      <c r="M98" s="84">
        <v>46261</v>
      </c>
      <c r="N98" s="85">
        <v>16626</v>
      </c>
      <c r="O98" s="86"/>
      <c r="P98" s="86"/>
      <c r="Q98" s="86"/>
      <c r="R98" s="46">
        <v>4989.3999999999996</v>
      </c>
      <c r="S98" s="46">
        <v>1154.0999999999995</v>
      </c>
      <c r="T98" s="46">
        <f t="shared" si="63"/>
        <v>3835.3</v>
      </c>
      <c r="U98" s="46">
        <v>3870.4</v>
      </c>
      <c r="V98" s="46"/>
      <c r="W98" s="46"/>
      <c r="X98" s="46">
        <v>3890.3</v>
      </c>
      <c r="Y98" s="46"/>
      <c r="Z98" s="46">
        <f>+T98-X98</f>
        <v>-55</v>
      </c>
      <c r="AA98" s="39">
        <f>Z98/T98</f>
        <v>-1.4340468802961958E-2</v>
      </c>
      <c r="AB98" s="73">
        <v>3847.16</v>
      </c>
      <c r="AC98" s="73"/>
      <c r="AD98" s="73"/>
      <c r="AE98" s="39"/>
      <c r="AF98" s="74"/>
      <c r="AG98" s="74"/>
      <c r="AH98" s="75"/>
      <c r="AI98" s="75">
        <f t="shared" si="64"/>
        <v>0</v>
      </c>
      <c r="AJ98" s="87"/>
      <c r="AK98" s="87"/>
      <c r="AL98" s="87"/>
      <c r="AM98" s="88"/>
      <c r="AN98" s="88"/>
      <c r="AO98" s="88"/>
      <c r="AP98" s="89">
        <f t="shared" si="65"/>
        <v>0</v>
      </c>
      <c r="AQ98" s="87">
        <f t="shared" si="66"/>
        <v>0</v>
      </c>
      <c r="AR98" s="87">
        <f t="shared" si="67"/>
        <v>0</v>
      </c>
      <c r="AS98" s="87"/>
      <c r="AT98" s="87"/>
      <c r="AU98" s="87"/>
      <c r="AV98" s="87"/>
      <c r="AW98" s="87"/>
      <c r="AX98" s="87"/>
      <c r="AY98" s="87"/>
      <c r="AZ98" s="90"/>
      <c r="BB98" s="92">
        <f>IF(AND(AB98="",AC98=""),T98,IF(AC98="",AB98,AC98))</f>
        <v>3847.16</v>
      </c>
      <c r="BC98" s="92">
        <f>+X98</f>
        <v>3890.3</v>
      </c>
      <c r="BD98" s="92"/>
      <c r="BE98" s="92">
        <f t="shared" si="68"/>
        <v>-43.140000000000327</v>
      </c>
      <c r="BF98" s="39">
        <f t="shared" si="69"/>
        <v>-1.1213466557148735E-2</v>
      </c>
    </row>
    <row r="99" spans="1:58" s="91" customFormat="1" ht="12.75" x14ac:dyDescent="0.2">
      <c r="A99" s="76">
        <f>IF(ISBLANK(F99),"",COUNTA($F$6:F99))</f>
        <v>94</v>
      </c>
      <c r="B99" s="77" t="s">
        <v>60</v>
      </c>
      <c r="C99" s="77" t="s">
        <v>61</v>
      </c>
      <c r="D99" s="78"/>
      <c r="E99" s="79" t="s">
        <v>66</v>
      </c>
      <c r="F99" s="80">
        <v>46259</v>
      </c>
      <c r="G99" s="81" t="s">
        <v>59</v>
      </c>
      <c r="H99" s="81">
        <v>59</v>
      </c>
      <c r="I99" s="81">
        <v>0</v>
      </c>
      <c r="J99" s="81" t="s">
        <v>66</v>
      </c>
      <c r="K99" s="82">
        <v>162003217</v>
      </c>
      <c r="L99" s="83">
        <v>46259</v>
      </c>
      <c r="M99" s="84">
        <v>46261</v>
      </c>
      <c r="N99" s="85">
        <v>16627</v>
      </c>
      <c r="O99" s="86"/>
      <c r="P99" s="86"/>
      <c r="Q99" s="86"/>
      <c r="R99" s="46">
        <v>5350.5</v>
      </c>
      <c r="S99" s="46">
        <v>1233.5</v>
      </c>
      <c r="T99" s="46">
        <f t="shared" si="63"/>
        <v>4117</v>
      </c>
      <c r="U99" s="46">
        <v>4117.2</v>
      </c>
      <c r="V99" s="46"/>
      <c r="W99" s="46"/>
      <c r="X99" s="46">
        <v>4223.2</v>
      </c>
      <c r="Y99" s="46"/>
      <c r="Z99" s="46">
        <f>+T99-X99</f>
        <v>-106.19999999999982</v>
      </c>
      <c r="AA99" s="39">
        <f>Z99/T99</f>
        <v>-2.5795482147194515E-2</v>
      </c>
      <c r="AB99" s="73">
        <v>4117.07</v>
      </c>
      <c r="AC99" s="73"/>
      <c r="AD99" s="73"/>
      <c r="AE99" s="39"/>
      <c r="AF99" s="74"/>
      <c r="AG99" s="74"/>
      <c r="AH99" s="75"/>
      <c r="AI99" s="75">
        <f t="shared" si="64"/>
        <v>0</v>
      </c>
      <c r="AJ99" s="87"/>
      <c r="AK99" s="87"/>
      <c r="AL99" s="87"/>
      <c r="AM99" s="88"/>
      <c r="AN99" s="88"/>
      <c r="AO99" s="88"/>
      <c r="AP99" s="89">
        <f t="shared" si="65"/>
        <v>0</v>
      </c>
      <c r="AQ99" s="87">
        <f t="shared" si="66"/>
        <v>0</v>
      </c>
      <c r="AR99" s="87">
        <f t="shared" si="67"/>
        <v>0</v>
      </c>
      <c r="AS99" s="87"/>
      <c r="AT99" s="87"/>
      <c r="AU99" s="87"/>
      <c r="AV99" s="87"/>
      <c r="AW99" s="87"/>
      <c r="AX99" s="87"/>
      <c r="AY99" s="87"/>
      <c r="AZ99" s="90"/>
      <c r="BB99" s="92">
        <f>IF(AND(AB99="",AC99=""),T99,IF(AC99="",AB99,AC99))</f>
        <v>4117.07</v>
      </c>
      <c r="BC99" s="92">
        <f>+X99</f>
        <v>4223.2</v>
      </c>
      <c r="BD99" s="92"/>
      <c r="BE99" s="92">
        <f t="shared" si="68"/>
        <v>-106.13000000000011</v>
      </c>
      <c r="BF99" s="39">
        <f t="shared" si="69"/>
        <v>-2.5778041179771078E-2</v>
      </c>
    </row>
    <row r="100" spans="1:58" s="91" customFormat="1" ht="12.75" x14ac:dyDescent="0.2">
      <c r="A100" s="76">
        <f>IF(ISBLANK(F100),"",COUNTA($F$6:F100))</f>
        <v>95</v>
      </c>
      <c r="B100" s="77" t="s">
        <v>60</v>
      </c>
      <c r="C100" s="77" t="s">
        <v>61</v>
      </c>
      <c r="D100" s="78"/>
      <c r="E100" s="79" t="s">
        <v>63</v>
      </c>
      <c r="F100" s="80">
        <v>46260</v>
      </c>
      <c r="G100" s="81" t="s">
        <v>59</v>
      </c>
      <c r="H100" s="81">
        <v>58</v>
      </c>
      <c r="I100" s="81">
        <v>1</v>
      </c>
      <c r="J100" s="81" t="s">
        <v>63</v>
      </c>
      <c r="K100" s="82">
        <v>162006472</v>
      </c>
      <c r="L100" s="83">
        <v>46260</v>
      </c>
      <c r="M100" s="84">
        <v>46262</v>
      </c>
      <c r="N100" s="85">
        <v>16631</v>
      </c>
      <c r="O100" s="86"/>
      <c r="P100" s="86"/>
      <c r="Q100" s="86"/>
      <c r="R100" s="46">
        <v>5174.1499999999996</v>
      </c>
      <c r="S100" s="46">
        <v>1218.5499999999997</v>
      </c>
      <c r="T100" s="46">
        <f t="shared" si="63"/>
        <v>3955.6</v>
      </c>
      <c r="U100" s="46">
        <v>3962.8</v>
      </c>
      <c r="V100" s="46"/>
      <c r="W100" s="46"/>
      <c r="X100" s="46">
        <v>4007.4</v>
      </c>
      <c r="Y100" s="46"/>
      <c r="Z100" s="46">
        <f>+T100-X100</f>
        <v>-51.800000000000182</v>
      </c>
      <c r="AA100" s="39">
        <f>Z100/T100</f>
        <v>-1.3095358479118259E-2</v>
      </c>
      <c r="AB100" s="73">
        <v>3955.55</v>
      </c>
      <c r="AC100" s="73"/>
      <c r="AD100" s="73"/>
      <c r="AE100" s="39"/>
      <c r="AF100" s="74"/>
      <c r="AG100" s="74"/>
      <c r="AH100" s="75"/>
      <c r="AI100" s="75">
        <f t="shared" si="64"/>
        <v>0</v>
      </c>
      <c r="AJ100" s="87"/>
      <c r="AK100" s="87"/>
      <c r="AL100" s="87"/>
      <c r="AM100" s="88"/>
      <c r="AN100" s="88"/>
      <c r="AO100" s="88"/>
      <c r="AP100" s="89">
        <f t="shared" si="65"/>
        <v>0</v>
      </c>
      <c r="AQ100" s="87">
        <f t="shared" si="66"/>
        <v>0</v>
      </c>
      <c r="AR100" s="87">
        <f t="shared" si="67"/>
        <v>0</v>
      </c>
      <c r="AS100" s="87"/>
      <c r="AT100" s="87"/>
      <c r="AU100" s="87"/>
      <c r="AV100" s="87"/>
      <c r="AW100" s="87"/>
      <c r="AX100" s="87"/>
      <c r="AY100" s="87"/>
      <c r="AZ100" s="90"/>
      <c r="BB100" s="92">
        <f>IF(AND(AB100="",AC100=""),T100,IF(AC100="",AB100,AC100))</f>
        <v>3955.55</v>
      </c>
      <c r="BC100" s="92">
        <f>+X100</f>
        <v>4007.4</v>
      </c>
      <c r="BD100" s="92"/>
      <c r="BE100" s="92">
        <f t="shared" si="68"/>
        <v>-51.849999999999909</v>
      </c>
      <c r="BF100" s="39">
        <f t="shared" si="69"/>
        <v>-1.3108164477759074E-2</v>
      </c>
    </row>
    <row r="101" spans="1:58" s="91" customFormat="1" ht="12.75" x14ac:dyDescent="0.2">
      <c r="A101" s="76">
        <f>IF(ISBLANK(F101),"",COUNTA($F$6:F101))</f>
        <v>96</v>
      </c>
      <c r="B101" s="77" t="s">
        <v>60</v>
      </c>
      <c r="C101" s="77" t="s">
        <v>61</v>
      </c>
      <c r="D101" s="78"/>
      <c r="E101" s="79" t="s">
        <v>66</v>
      </c>
      <c r="F101" s="80">
        <v>46260</v>
      </c>
      <c r="G101" s="81" t="s">
        <v>59</v>
      </c>
      <c r="H101" s="81">
        <v>58</v>
      </c>
      <c r="I101" s="81">
        <v>1</v>
      </c>
      <c r="J101" s="81" t="s">
        <v>66</v>
      </c>
      <c r="K101" s="82">
        <v>162003219</v>
      </c>
      <c r="L101" s="83">
        <v>46260</v>
      </c>
      <c r="M101" s="84">
        <v>46262</v>
      </c>
      <c r="N101" s="85">
        <v>16629</v>
      </c>
      <c r="O101" s="86"/>
      <c r="P101" s="86"/>
      <c r="Q101" s="86"/>
      <c r="R101" s="46">
        <v>5168.46</v>
      </c>
      <c r="S101" s="46">
        <v>1195.2600000000002</v>
      </c>
      <c r="T101" s="46">
        <f t="shared" si="63"/>
        <v>3973.2</v>
      </c>
      <c r="U101" s="46">
        <v>3973.2</v>
      </c>
      <c r="V101" s="46"/>
      <c r="W101" s="46"/>
      <c r="X101" s="46">
        <v>3911.6</v>
      </c>
      <c r="Y101" s="46"/>
      <c r="Z101" s="46">
        <f>+T101-X101</f>
        <v>61.599999999999909</v>
      </c>
      <c r="AA101" s="39">
        <f>Z101/T101</f>
        <v>1.5503875968992225E-2</v>
      </c>
      <c r="AB101" s="73">
        <v>3973.16</v>
      </c>
      <c r="AC101" s="73"/>
      <c r="AD101" s="73"/>
      <c r="AE101" s="39"/>
      <c r="AF101" s="74"/>
      <c r="AG101" s="74"/>
      <c r="AH101" s="75"/>
      <c r="AI101" s="75">
        <f t="shared" si="64"/>
        <v>0</v>
      </c>
      <c r="AJ101" s="87"/>
      <c r="AK101" s="87"/>
      <c r="AL101" s="87"/>
      <c r="AM101" s="88"/>
      <c r="AN101" s="88"/>
      <c r="AO101" s="88"/>
      <c r="AP101" s="89">
        <f t="shared" si="65"/>
        <v>0</v>
      </c>
      <c r="AQ101" s="87">
        <f t="shared" si="66"/>
        <v>0</v>
      </c>
      <c r="AR101" s="87">
        <f t="shared" si="67"/>
        <v>0</v>
      </c>
      <c r="AS101" s="87"/>
      <c r="AT101" s="87"/>
      <c r="AU101" s="87"/>
      <c r="AV101" s="87"/>
      <c r="AW101" s="87"/>
      <c r="AX101" s="87"/>
      <c r="AY101" s="87"/>
      <c r="AZ101" s="90"/>
      <c r="BB101" s="92">
        <f>IF(AND(AB101="",AC101=""),T101,IF(AC101="",AB101,AC101))</f>
        <v>3973.16</v>
      </c>
      <c r="BC101" s="92">
        <f>+X101</f>
        <v>3911.6</v>
      </c>
      <c r="BD101" s="92"/>
      <c r="BE101" s="92">
        <f t="shared" si="68"/>
        <v>61.559999999999945</v>
      </c>
      <c r="BF101" s="39">
        <f t="shared" si="69"/>
        <v>1.5493964501807112E-2</v>
      </c>
    </row>
    <row r="102" spans="1:58" s="91" customFormat="1" ht="12.75" x14ac:dyDescent="0.2">
      <c r="A102" s="76">
        <f>IF(ISBLANK(F102),"",COUNTA($F$6:F102))</f>
        <v>97</v>
      </c>
      <c r="B102" s="77" t="s">
        <v>60</v>
      </c>
      <c r="C102" s="77" t="s">
        <v>61</v>
      </c>
      <c r="D102" s="78"/>
      <c r="E102" s="79" t="s">
        <v>65</v>
      </c>
      <c r="F102" s="80">
        <v>46260</v>
      </c>
      <c r="G102" s="81" t="s">
        <v>59</v>
      </c>
      <c r="H102" s="81">
        <v>58</v>
      </c>
      <c r="I102" s="81">
        <v>2</v>
      </c>
      <c r="J102" s="81" t="s">
        <v>67</v>
      </c>
      <c r="K102" s="82">
        <v>162011731</v>
      </c>
      <c r="L102" s="83">
        <v>46260</v>
      </c>
      <c r="M102" s="84">
        <v>46263</v>
      </c>
      <c r="N102" s="85">
        <v>16634</v>
      </c>
      <c r="O102" s="86"/>
      <c r="P102" s="86"/>
      <c r="Q102" s="86"/>
      <c r="R102" s="46">
        <v>4900.8</v>
      </c>
      <c r="S102" s="46">
        <v>1179.4000000000001</v>
      </c>
      <c r="T102" s="46">
        <f t="shared" si="63"/>
        <v>3721.4</v>
      </c>
      <c r="U102" s="46">
        <v>3915</v>
      </c>
      <c r="V102" s="46"/>
      <c r="W102" s="46"/>
      <c r="X102" s="46">
        <v>3693.2</v>
      </c>
      <c r="Y102" s="46"/>
      <c r="Z102" s="46">
        <f>+T102-X102</f>
        <v>28.200000000000273</v>
      </c>
      <c r="AA102" s="39">
        <f>Z102/T102</f>
        <v>7.5777933035954944E-3</v>
      </c>
      <c r="AB102" s="73">
        <v>3736.33</v>
      </c>
      <c r="AC102" s="73"/>
      <c r="AD102" s="73"/>
      <c r="AE102" s="39"/>
      <c r="AF102" s="74"/>
      <c r="AG102" s="74"/>
      <c r="AH102" s="75"/>
      <c r="AI102" s="75">
        <f t="shared" si="64"/>
        <v>0</v>
      </c>
      <c r="AJ102" s="87"/>
      <c r="AK102" s="87"/>
      <c r="AL102" s="87"/>
      <c r="AM102" s="88"/>
      <c r="AN102" s="88"/>
      <c r="AO102" s="88"/>
      <c r="AP102" s="89">
        <f t="shared" si="65"/>
        <v>0</v>
      </c>
      <c r="AQ102" s="87">
        <f t="shared" si="66"/>
        <v>0</v>
      </c>
      <c r="AR102" s="87">
        <f t="shared" si="67"/>
        <v>0</v>
      </c>
      <c r="AS102" s="87"/>
      <c r="AT102" s="87"/>
      <c r="AU102" s="87"/>
      <c r="AV102" s="87"/>
      <c r="AW102" s="87"/>
      <c r="AX102" s="87"/>
      <c r="AY102" s="87"/>
      <c r="AZ102" s="90"/>
      <c r="BB102" s="92">
        <f>IF(AND(AB102="",AC102=""),T102,IF(AC102="",AB102,AC102))</f>
        <v>3736.33</v>
      </c>
      <c r="BC102" s="92">
        <f>+X102</f>
        <v>3693.2</v>
      </c>
      <c r="BD102" s="92"/>
      <c r="BE102" s="92">
        <f t="shared" si="68"/>
        <v>43.130000000000109</v>
      </c>
      <c r="BF102" s="39">
        <f t="shared" si="69"/>
        <v>1.1543412921235573E-2</v>
      </c>
    </row>
    <row r="103" spans="1:58" s="91" customFormat="1" ht="12.75" x14ac:dyDescent="0.2">
      <c r="A103" s="76">
        <f>IF(ISBLANK(F103),"",COUNTA($F$6:F103))</f>
        <v>98</v>
      </c>
      <c r="B103" s="77" t="s">
        <v>60</v>
      </c>
      <c r="C103" s="77" t="s">
        <v>61</v>
      </c>
      <c r="D103" s="78"/>
      <c r="E103" s="79" t="s">
        <v>63</v>
      </c>
      <c r="F103" s="80">
        <v>46261</v>
      </c>
      <c r="G103" s="81" t="s">
        <v>59</v>
      </c>
      <c r="H103" s="81">
        <v>59</v>
      </c>
      <c r="I103" s="81">
        <v>12</v>
      </c>
      <c r="J103" s="81" t="s">
        <v>63</v>
      </c>
      <c r="K103" s="82">
        <v>162006475</v>
      </c>
      <c r="L103" s="83">
        <v>46261</v>
      </c>
      <c r="M103" s="84">
        <v>46262</v>
      </c>
      <c r="N103" s="85">
        <v>16633</v>
      </c>
      <c r="O103" s="86"/>
      <c r="P103" s="86"/>
      <c r="Q103" s="86"/>
      <c r="R103" s="46">
        <v>4262.7700000000004</v>
      </c>
      <c r="S103" s="46">
        <v>977.67000000000053</v>
      </c>
      <c r="T103" s="46">
        <f t="shared" ref="T103:T112" si="70">+R103-S103</f>
        <v>3285.1</v>
      </c>
      <c r="U103" s="46">
        <v>3289</v>
      </c>
      <c r="V103" s="46"/>
      <c r="W103" s="46"/>
      <c r="X103" s="46">
        <v>3300.2</v>
      </c>
      <c r="Y103" s="46"/>
      <c r="Z103" s="46">
        <f>+T103-X103</f>
        <v>-15.099999999999909</v>
      </c>
      <c r="AA103" s="39">
        <f>Z103/T103</f>
        <v>-4.5965115217192504E-3</v>
      </c>
      <c r="AB103" s="73"/>
      <c r="AC103" s="73"/>
      <c r="AD103" s="73"/>
      <c r="AE103" s="39"/>
      <c r="AF103" s="74"/>
      <c r="AG103" s="74"/>
      <c r="AH103" s="75"/>
      <c r="AI103" s="75">
        <f t="shared" ref="AI103:AI112" si="71">+AG103+AH103</f>
        <v>0</v>
      </c>
      <c r="AJ103" s="87"/>
      <c r="AK103" s="87"/>
      <c r="AL103" s="87"/>
      <c r="AM103" s="88"/>
      <c r="AN103" s="88"/>
      <c r="AO103" s="88"/>
      <c r="AP103" s="89">
        <f t="shared" ref="AP103:AP112" si="72">ROUNDUP((AO103-AM103+(AO103&lt;AM103))*24,0)</f>
        <v>0</v>
      </c>
      <c r="AQ103" s="87">
        <f t="shared" ref="AQ103:AQ112" si="73">IF(AP103&gt;5,(AP103-5),0)</f>
        <v>0</v>
      </c>
      <c r="AR103" s="87">
        <f t="shared" ref="AR103:AR112" si="74">+AQ103*8850</f>
        <v>0</v>
      </c>
      <c r="AS103" s="87"/>
      <c r="AT103" s="87"/>
      <c r="AU103" s="87"/>
      <c r="AV103" s="87"/>
      <c r="AW103" s="87"/>
      <c r="AX103" s="87"/>
      <c r="AY103" s="87"/>
      <c r="AZ103" s="90"/>
      <c r="BB103" s="92">
        <f>IF(AND(AB103="",AC103=""),T103,IF(AC103="",AB103,AC103))</f>
        <v>3285.1</v>
      </c>
      <c r="BC103" s="92">
        <f>+X103</f>
        <v>3300.2</v>
      </c>
      <c r="BD103" s="92"/>
      <c r="BE103" s="92">
        <f t="shared" ref="BE103:BE112" si="75">+BB103-BC103</f>
        <v>-15.099999999999909</v>
      </c>
      <c r="BF103" s="39">
        <f t="shared" ref="BF103:BF112" si="76">+BE103/BB103</f>
        <v>-4.5965115217192504E-3</v>
      </c>
    </row>
    <row r="104" spans="1:58" s="91" customFormat="1" ht="12.75" x14ac:dyDescent="0.2">
      <c r="A104" s="76">
        <f>IF(ISBLANK(F104),"",COUNTA($F$6:F104))</f>
        <v>99</v>
      </c>
      <c r="B104" s="77" t="s">
        <v>60</v>
      </c>
      <c r="C104" s="77" t="s">
        <v>61</v>
      </c>
      <c r="D104" s="78"/>
      <c r="E104" s="79" t="s">
        <v>65</v>
      </c>
      <c r="F104" s="80">
        <v>46261</v>
      </c>
      <c r="G104" s="81" t="s">
        <v>59</v>
      </c>
      <c r="H104" s="81">
        <v>58</v>
      </c>
      <c r="I104" s="81">
        <v>2</v>
      </c>
      <c r="J104" s="81" t="s">
        <v>67</v>
      </c>
      <c r="K104" s="82">
        <v>162011733</v>
      </c>
      <c r="L104" s="83">
        <v>46261</v>
      </c>
      <c r="M104" s="84">
        <v>46263</v>
      </c>
      <c r="N104" s="85">
        <v>16636</v>
      </c>
      <c r="O104" s="86"/>
      <c r="P104" s="86"/>
      <c r="Q104" s="86"/>
      <c r="R104" s="46">
        <v>4922.2</v>
      </c>
      <c r="S104" s="46">
        <v>1153.5999999999999</v>
      </c>
      <c r="T104" s="46">
        <f t="shared" si="70"/>
        <v>3768.6</v>
      </c>
      <c r="U104" s="46">
        <v>3932.6</v>
      </c>
      <c r="V104" s="46"/>
      <c r="W104" s="46"/>
      <c r="X104" s="46">
        <v>3810.8</v>
      </c>
      <c r="Y104" s="46"/>
      <c r="Z104" s="46">
        <f>+T104-X104</f>
        <v>-42.200000000000273</v>
      </c>
      <c r="AA104" s="39">
        <f>Z104/T104</f>
        <v>-1.1197792283606718E-2</v>
      </c>
      <c r="AB104" s="73">
        <v>3788.6</v>
      </c>
      <c r="AC104" s="73"/>
      <c r="AD104" s="73"/>
      <c r="AE104" s="39"/>
      <c r="AF104" s="74"/>
      <c r="AG104" s="74"/>
      <c r="AH104" s="75"/>
      <c r="AI104" s="75">
        <f t="shared" si="71"/>
        <v>0</v>
      </c>
      <c r="AJ104" s="87"/>
      <c r="AK104" s="87"/>
      <c r="AL104" s="87"/>
      <c r="AM104" s="88"/>
      <c r="AN104" s="88"/>
      <c r="AO104" s="88"/>
      <c r="AP104" s="89">
        <f t="shared" si="72"/>
        <v>0</v>
      </c>
      <c r="AQ104" s="87">
        <f t="shared" si="73"/>
        <v>0</v>
      </c>
      <c r="AR104" s="87">
        <f t="shared" si="74"/>
        <v>0</v>
      </c>
      <c r="AS104" s="87"/>
      <c r="AT104" s="87"/>
      <c r="AU104" s="87"/>
      <c r="AV104" s="87"/>
      <c r="AW104" s="87"/>
      <c r="AX104" s="87"/>
      <c r="AY104" s="87"/>
      <c r="AZ104" s="90"/>
      <c r="BB104" s="92">
        <f>IF(AND(AB104="",AC104=""),T104,IF(AC104="",AB104,AC104))</f>
        <v>3788.6</v>
      </c>
      <c r="BC104" s="92">
        <f>+X104</f>
        <v>3810.8</v>
      </c>
      <c r="BD104" s="92"/>
      <c r="BE104" s="92">
        <f t="shared" si="75"/>
        <v>-22.200000000000273</v>
      </c>
      <c r="BF104" s="39">
        <f t="shared" si="76"/>
        <v>-5.8596843161062857E-3</v>
      </c>
    </row>
    <row r="105" spans="1:58" s="91" customFormat="1" ht="12.75" x14ac:dyDescent="0.2">
      <c r="A105" s="76">
        <f>IF(ISBLANK(F105),"",COUNTA($F$6:F105))</f>
        <v>100</v>
      </c>
      <c r="B105" s="77" t="s">
        <v>60</v>
      </c>
      <c r="C105" s="77" t="s">
        <v>61</v>
      </c>
      <c r="D105" s="78"/>
      <c r="E105" s="79" t="s">
        <v>66</v>
      </c>
      <c r="F105" s="80">
        <v>46261</v>
      </c>
      <c r="G105" s="81" t="s">
        <v>59</v>
      </c>
      <c r="H105" s="81">
        <v>58</v>
      </c>
      <c r="I105" s="81">
        <v>1</v>
      </c>
      <c r="J105" s="81" t="s">
        <v>66</v>
      </c>
      <c r="K105" s="82">
        <v>162003223</v>
      </c>
      <c r="L105" s="83">
        <v>46261</v>
      </c>
      <c r="M105" s="84">
        <v>46264</v>
      </c>
      <c r="N105" s="85">
        <v>16637</v>
      </c>
      <c r="O105" s="86"/>
      <c r="P105" s="86"/>
      <c r="Q105" s="86"/>
      <c r="R105" s="46">
        <v>5170.7</v>
      </c>
      <c r="S105" s="46">
        <v>1196.6999999999998</v>
      </c>
      <c r="T105" s="46">
        <f t="shared" si="70"/>
        <v>3974</v>
      </c>
      <c r="U105" s="46">
        <v>3974</v>
      </c>
      <c r="V105" s="46"/>
      <c r="W105" s="46"/>
      <c r="X105" s="46">
        <v>4100.08</v>
      </c>
      <c r="Y105" s="46"/>
      <c r="Z105" s="46">
        <f>+T105-X105</f>
        <v>-126.07999999999993</v>
      </c>
      <c r="AA105" s="39">
        <f>Z105/T105</f>
        <v>-3.1726220432813271E-2</v>
      </c>
      <c r="AB105" s="73">
        <v>3973.98</v>
      </c>
      <c r="AC105" s="73"/>
      <c r="AD105" s="73"/>
      <c r="AE105" s="39"/>
      <c r="AF105" s="74"/>
      <c r="AG105" s="74"/>
      <c r="AH105" s="75"/>
      <c r="AI105" s="75">
        <f t="shared" si="71"/>
        <v>0</v>
      </c>
      <c r="AJ105" s="87"/>
      <c r="AK105" s="87"/>
      <c r="AL105" s="87"/>
      <c r="AM105" s="88"/>
      <c r="AN105" s="88"/>
      <c r="AO105" s="88"/>
      <c r="AP105" s="89">
        <f t="shared" si="72"/>
        <v>0</v>
      </c>
      <c r="AQ105" s="87">
        <f t="shared" si="73"/>
        <v>0</v>
      </c>
      <c r="AR105" s="87">
        <f t="shared" si="74"/>
        <v>0</v>
      </c>
      <c r="AS105" s="87"/>
      <c r="AT105" s="87"/>
      <c r="AU105" s="87"/>
      <c r="AV105" s="87"/>
      <c r="AW105" s="87"/>
      <c r="AX105" s="87"/>
      <c r="AY105" s="87"/>
      <c r="AZ105" s="90"/>
      <c r="BB105" s="92">
        <f>IF(AND(AB105="",AC105=""),T105,IF(AC105="",AB105,AC105))</f>
        <v>3973.98</v>
      </c>
      <c r="BC105" s="92">
        <f>+X105</f>
        <v>4100.08</v>
      </c>
      <c r="BD105" s="92"/>
      <c r="BE105" s="92">
        <f t="shared" si="75"/>
        <v>-126.09999999999991</v>
      </c>
      <c r="BF105" s="39">
        <f t="shared" si="76"/>
        <v>-3.1731412840527606E-2</v>
      </c>
    </row>
    <row r="106" spans="1:58" s="91" customFormat="1" ht="12.75" x14ac:dyDescent="0.2">
      <c r="A106" s="76">
        <f>IF(ISBLANK(F106),"",COUNTA($F$6:F106))</f>
        <v>101</v>
      </c>
      <c r="B106" s="77" t="s">
        <v>60</v>
      </c>
      <c r="C106" s="77" t="s">
        <v>61</v>
      </c>
      <c r="D106" s="78"/>
      <c r="E106" s="79" t="s">
        <v>66</v>
      </c>
      <c r="F106" s="80">
        <v>46262</v>
      </c>
      <c r="G106" s="81" t="s">
        <v>59</v>
      </c>
      <c r="H106" s="81">
        <v>57</v>
      </c>
      <c r="I106" s="81">
        <v>2</v>
      </c>
      <c r="J106" s="81" t="s">
        <v>66</v>
      </c>
      <c r="K106" s="82">
        <v>162003225</v>
      </c>
      <c r="L106" s="83">
        <v>46262</v>
      </c>
      <c r="M106" s="84">
        <v>46265</v>
      </c>
      <c r="N106" s="85">
        <v>16641</v>
      </c>
      <c r="O106" s="86"/>
      <c r="P106" s="86"/>
      <c r="Q106" s="86"/>
      <c r="R106" s="46">
        <v>4989.8</v>
      </c>
      <c r="S106" s="46">
        <v>1147.5</v>
      </c>
      <c r="T106" s="46">
        <f t="shared" si="70"/>
        <v>3842.3</v>
      </c>
      <c r="U106" s="46">
        <v>3842.4</v>
      </c>
      <c r="V106" s="46"/>
      <c r="W106" s="46"/>
      <c r="X106" s="46">
        <v>3848.2</v>
      </c>
      <c r="Y106" s="46"/>
      <c r="Z106" s="46">
        <f>+T106-X106</f>
        <v>-5.8999999999996362</v>
      </c>
      <c r="AA106" s="39">
        <f>Z106/T106</f>
        <v>-1.5355386096868116E-3</v>
      </c>
      <c r="AB106" s="73">
        <v>3842.28</v>
      </c>
      <c r="AC106" s="73"/>
      <c r="AD106" s="73"/>
      <c r="AE106" s="39"/>
      <c r="AF106" s="74"/>
      <c r="AG106" s="74"/>
      <c r="AH106" s="75"/>
      <c r="AI106" s="75">
        <f t="shared" si="71"/>
        <v>0</v>
      </c>
      <c r="AJ106" s="87"/>
      <c r="AK106" s="87"/>
      <c r="AL106" s="87"/>
      <c r="AM106" s="88"/>
      <c r="AN106" s="88"/>
      <c r="AO106" s="88"/>
      <c r="AP106" s="89">
        <f t="shared" si="72"/>
        <v>0</v>
      </c>
      <c r="AQ106" s="87">
        <f t="shared" si="73"/>
        <v>0</v>
      </c>
      <c r="AR106" s="87">
        <f t="shared" si="74"/>
        <v>0</v>
      </c>
      <c r="AS106" s="87"/>
      <c r="AT106" s="87"/>
      <c r="AU106" s="87"/>
      <c r="AV106" s="87"/>
      <c r="AW106" s="87"/>
      <c r="AX106" s="87"/>
      <c r="AY106" s="87"/>
      <c r="AZ106" s="90"/>
      <c r="BB106" s="92">
        <f>IF(AND(AB106="",AC106=""),T106,IF(AC106="",AB106,AC106))</f>
        <v>3842.28</v>
      </c>
      <c r="BC106" s="92">
        <f>+X106</f>
        <v>3848.2</v>
      </c>
      <c r="BD106" s="92"/>
      <c r="BE106" s="92">
        <f t="shared" si="75"/>
        <v>-5.919999999999618</v>
      </c>
      <c r="BF106" s="39">
        <f t="shared" si="76"/>
        <v>-1.540751845258445E-3</v>
      </c>
    </row>
    <row r="107" spans="1:58" s="91" customFormat="1" ht="12.75" x14ac:dyDescent="0.2">
      <c r="A107" s="76">
        <f>IF(ISBLANK(F107),"",COUNTA($F$6:F107))</f>
        <v>102</v>
      </c>
      <c r="B107" s="77" t="s">
        <v>60</v>
      </c>
      <c r="C107" s="77" t="s">
        <v>61</v>
      </c>
      <c r="D107" s="78"/>
      <c r="E107" s="79" t="s">
        <v>65</v>
      </c>
      <c r="F107" s="80">
        <v>46262</v>
      </c>
      <c r="G107" s="81" t="s">
        <v>59</v>
      </c>
      <c r="H107" s="81">
        <v>58</v>
      </c>
      <c r="I107" s="81">
        <v>4</v>
      </c>
      <c r="J107" s="81" t="s">
        <v>67</v>
      </c>
      <c r="K107" s="82">
        <v>162011736</v>
      </c>
      <c r="L107" s="83">
        <v>46263</v>
      </c>
      <c r="M107" s="84">
        <v>46265</v>
      </c>
      <c r="N107" s="85">
        <v>16642</v>
      </c>
      <c r="O107" s="86"/>
      <c r="P107" s="86"/>
      <c r="Q107" s="86"/>
      <c r="R107" s="46">
        <v>4842</v>
      </c>
      <c r="S107" s="46">
        <v>1125.5</v>
      </c>
      <c r="T107" s="46">
        <f t="shared" si="70"/>
        <v>3716.5</v>
      </c>
      <c r="U107" s="46">
        <v>3801.8</v>
      </c>
      <c r="V107" s="46"/>
      <c r="W107" s="46"/>
      <c r="X107" s="46">
        <v>3856.4</v>
      </c>
      <c r="Y107" s="46"/>
      <c r="Z107" s="46">
        <f>+T107-X107</f>
        <v>-139.90000000000009</v>
      </c>
      <c r="AA107" s="39">
        <f>Z107/T107</f>
        <v>-3.7642943629759208E-2</v>
      </c>
      <c r="AB107" s="73">
        <v>3738.64</v>
      </c>
      <c r="AC107" s="73"/>
      <c r="AD107" s="73"/>
      <c r="AE107" s="39"/>
      <c r="AF107" s="74"/>
      <c r="AG107" s="74"/>
      <c r="AH107" s="75"/>
      <c r="AI107" s="75">
        <f t="shared" si="71"/>
        <v>0</v>
      </c>
      <c r="AJ107" s="87"/>
      <c r="AK107" s="87"/>
      <c r="AL107" s="87"/>
      <c r="AM107" s="88"/>
      <c r="AN107" s="88"/>
      <c r="AO107" s="88"/>
      <c r="AP107" s="89">
        <f t="shared" si="72"/>
        <v>0</v>
      </c>
      <c r="AQ107" s="87">
        <f t="shared" si="73"/>
        <v>0</v>
      </c>
      <c r="AR107" s="87">
        <f t="shared" si="74"/>
        <v>0</v>
      </c>
      <c r="AS107" s="87"/>
      <c r="AT107" s="87"/>
      <c r="AU107" s="87"/>
      <c r="AV107" s="87"/>
      <c r="AW107" s="87"/>
      <c r="AX107" s="87"/>
      <c r="AY107" s="87"/>
      <c r="AZ107" s="90"/>
      <c r="BB107" s="92">
        <f>IF(AND(AB107="",AC107=""),T107,IF(AC107="",AB107,AC107))</f>
        <v>3738.64</v>
      </c>
      <c r="BC107" s="92">
        <f>+X107</f>
        <v>3856.4</v>
      </c>
      <c r="BD107" s="92"/>
      <c r="BE107" s="92">
        <f t="shared" si="75"/>
        <v>-117.76000000000022</v>
      </c>
      <c r="BF107" s="39">
        <f t="shared" si="76"/>
        <v>-3.1498084865084687E-2</v>
      </c>
    </row>
    <row r="108" spans="1:58" s="91" customFormat="1" ht="12.75" x14ac:dyDescent="0.2">
      <c r="A108" s="76">
        <f>IF(ISBLANK(F108),"",COUNTA($F$6:F108))</f>
        <v>103</v>
      </c>
      <c r="B108" s="77" t="s">
        <v>60</v>
      </c>
      <c r="C108" s="77" t="s">
        <v>61</v>
      </c>
      <c r="D108" s="78"/>
      <c r="E108" s="79" t="s">
        <v>66</v>
      </c>
      <c r="F108" s="80">
        <v>46262</v>
      </c>
      <c r="G108" s="81" t="s">
        <v>59</v>
      </c>
      <c r="H108" s="81">
        <v>59</v>
      </c>
      <c r="I108" s="81">
        <v>2</v>
      </c>
      <c r="J108" s="81" t="s">
        <v>66</v>
      </c>
      <c r="K108" s="82">
        <v>162003226</v>
      </c>
      <c r="L108" s="83">
        <v>46263</v>
      </c>
      <c r="M108" s="84">
        <v>46264</v>
      </c>
      <c r="N108" s="85">
        <v>16638</v>
      </c>
      <c r="O108" s="86"/>
      <c r="P108" s="86"/>
      <c r="Q108" s="86"/>
      <c r="R108" s="46">
        <v>5168.9399999999996</v>
      </c>
      <c r="S108" s="46">
        <v>1193.2399999999998</v>
      </c>
      <c r="T108" s="46">
        <f t="shared" si="70"/>
        <v>3975.7</v>
      </c>
      <c r="U108" s="46">
        <v>3975.8</v>
      </c>
      <c r="V108" s="46"/>
      <c r="W108" s="46"/>
      <c r="X108" s="46">
        <v>3912.4</v>
      </c>
      <c r="Y108" s="46"/>
      <c r="Z108" s="46">
        <f>+T108-X108</f>
        <v>63.299999999999727</v>
      </c>
      <c r="AA108" s="39">
        <f>Z108/T108</f>
        <v>1.5921724476192802E-2</v>
      </c>
      <c r="AB108" s="73">
        <v>3975.7</v>
      </c>
      <c r="AC108" s="73"/>
      <c r="AD108" s="73"/>
      <c r="AE108" s="39"/>
      <c r="AF108" s="74"/>
      <c r="AG108" s="74"/>
      <c r="AH108" s="75"/>
      <c r="AI108" s="75">
        <f t="shared" si="71"/>
        <v>0</v>
      </c>
      <c r="AJ108" s="87"/>
      <c r="AK108" s="87"/>
      <c r="AL108" s="87"/>
      <c r="AM108" s="88"/>
      <c r="AN108" s="88"/>
      <c r="AO108" s="88"/>
      <c r="AP108" s="89">
        <f t="shared" si="72"/>
        <v>0</v>
      </c>
      <c r="AQ108" s="87">
        <f t="shared" si="73"/>
        <v>0</v>
      </c>
      <c r="AR108" s="87">
        <f t="shared" si="74"/>
        <v>0</v>
      </c>
      <c r="AS108" s="87"/>
      <c r="AT108" s="87"/>
      <c r="AU108" s="87"/>
      <c r="AV108" s="87"/>
      <c r="AW108" s="87"/>
      <c r="AX108" s="87"/>
      <c r="AY108" s="87"/>
      <c r="AZ108" s="90"/>
      <c r="BB108" s="92">
        <f>IF(AND(AB108="",AC108=""),T108,IF(AC108="",AB108,AC108))</f>
        <v>3975.7</v>
      </c>
      <c r="BC108" s="92">
        <f>+X108</f>
        <v>3912.4</v>
      </c>
      <c r="BD108" s="92"/>
      <c r="BE108" s="92">
        <f t="shared" si="75"/>
        <v>63.299999999999727</v>
      </c>
      <c r="BF108" s="39">
        <f t="shared" si="76"/>
        <v>1.5921724476192802E-2</v>
      </c>
    </row>
    <row r="109" spans="1:58" s="20" customFormat="1" ht="12.75" x14ac:dyDescent="0.2">
      <c r="A109" s="53">
        <f>IF(ISBLANK(F109),"",COUNTA($F$6:F109))</f>
        <v>104</v>
      </c>
      <c r="B109" s="54" t="s">
        <v>60</v>
      </c>
      <c r="C109" s="54" t="s">
        <v>61</v>
      </c>
      <c r="D109" s="55"/>
      <c r="E109" s="56" t="s">
        <v>65</v>
      </c>
      <c r="F109" s="57">
        <v>46263</v>
      </c>
      <c r="G109" s="58" t="s">
        <v>59</v>
      </c>
      <c r="H109" s="58">
        <v>58</v>
      </c>
      <c r="I109" s="58">
        <v>3</v>
      </c>
      <c r="J109" s="58" t="s">
        <v>67</v>
      </c>
      <c r="K109" s="59">
        <v>162011737</v>
      </c>
      <c r="L109" s="60">
        <v>46263</v>
      </c>
      <c r="M109" s="61"/>
      <c r="N109" s="62"/>
      <c r="O109" s="63"/>
      <c r="P109" s="63"/>
      <c r="Q109" s="63"/>
      <c r="R109" s="64"/>
      <c r="S109" s="64"/>
      <c r="T109" s="64">
        <f t="shared" si="70"/>
        <v>0</v>
      </c>
      <c r="U109" s="64"/>
      <c r="V109" s="64"/>
      <c r="W109" s="64"/>
      <c r="X109" s="64"/>
      <c r="Y109" s="64"/>
      <c r="Z109" s="64">
        <f>+T109-X109</f>
        <v>0</v>
      </c>
      <c r="AA109" s="65" t="e">
        <f>Z109/T109</f>
        <v>#DIV/0!</v>
      </c>
      <c r="AB109" s="66"/>
      <c r="AC109" s="66"/>
      <c r="AD109" s="66"/>
      <c r="AE109" s="65"/>
      <c r="AF109" s="67"/>
      <c r="AG109" s="67"/>
      <c r="AH109" s="68"/>
      <c r="AI109" s="68">
        <f t="shared" si="71"/>
        <v>0</v>
      </c>
      <c r="AJ109" s="69"/>
      <c r="AK109" s="69"/>
      <c r="AL109" s="69"/>
      <c r="AM109" s="70"/>
      <c r="AN109" s="70"/>
      <c r="AO109" s="70"/>
      <c r="AP109" s="71">
        <f t="shared" si="72"/>
        <v>0</v>
      </c>
      <c r="AQ109" s="69">
        <f t="shared" si="73"/>
        <v>0</v>
      </c>
      <c r="AR109" s="69">
        <f t="shared" si="74"/>
        <v>0</v>
      </c>
      <c r="AS109" s="69"/>
      <c r="AT109" s="69"/>
      <c r="AU109" s="69"/>
      <c r="AV109" s="69"/>
      <c r="AW109" s="69"/>
      <c r="AX109" s="69"/>
      <c r="AY109" s="69"/>
      <c r="AZ109" s="72"/>
      <c r="BB109" s="45">
        <f>IF(AND(AB109="",AC109=""),T109,IF(AC109="",AB109,AC109))</f>
        <v>0</v>
      </c>
      <c r="BC109" s="45">
        <f>+X109</f>
        <v>0</v>
      </c>
      <c r="BD109" s="45"/>
      <c r="BE109" s="45">
        <f t="shared" si="75"/>
        <v>0</v>
      </c>
      <c r="BF109" s="39" t="e">
        <f t="shared" si="76"/>
        <v>#DIV/0!</v>
      </c>
    </row>
    <row r="110" spans="1:58" s="20" customFormat="1" ht="12.75" x14ac:dyDescent="0.2">
      <c r="A110" s="53">
        <f>IF(ISBLANK(F110),"",COUNTA($F$6:F110))</f>
        <v>105</v>
      </c>
      <c r="B110" s="54" t="s">
        <v>60</v>
      </c>
      <c r="C110" s="54" t="s">
        <v>61</v>
      </c>
      <c r="D110" s="55"/>
      <c r="E110" s="56" t="s">
        <v>66</v>
      </c>
      <c r="F110" s="57">
        <v>46263</v>
      </c>
      <c r="G110" s="58" t="s">
        <v>59</v>
      </c>
      <c r="H110" s="58">
        <v>59</v>
      </c>
      <c r="I110" s="58">
        <v>8</v>
      </c>
      <c r="J110" s="58" t="s">
        <v>66</v>
      </c>
      <c r="K110" s="59">
        <v>162003229</v>
      </c>
      <c r="L110" s="60">
        <v>46263</v>
      </c>
      <c r="M110" s="61"/>
      <c r="N110" s="62"/>
      <c r="O110" s="63"/>
      <c r="P110" s="63"/>
      <c r="Q110" s="63"/>
      <c r="R110" s="64"/>
      <c r="S110" s="64"/>
      <c r="T110" s="64">
        <f t="shared" si="70"/>
        <v>0</v>
      </c>
      <c r="U110" s="64"/>
      <c r="V110" s="64"/>
      <c r="W110" s="64"/>
      <c r="X110" s="64"/>
      <c r="Y110" s="64"/>
      <c r="Z110" s="64">
        <f>+T110-X110</f>
        <v>0</v>
      </c>
      <c r="AA110" s="65" t="e">
        <f>Z110/T110</f>
        <v>#DIV/0!</v>
      </c>
      <c r="AB110" s="66"/>
      <c r="AC110" s="66"/>
      <c r="AD110" s="66"/>
      <c r="AE110" s="65"/>
      <c r="AF110" s="67"/>
      <c r="AG110" s="67"/>
      <c r="AH110" s="68"/>
      <c r="AI110" s="68">
        <f t="shared" si="71"/>
        <v>0</v>
      </c>
      <c r="AJ110" s="69"/>
      <c r="AK110" s="69"/>
      <c r="AL110" s="69"/>
      <c r="AM110" s="70"/>
      <c r="AN110" s="70"/>
      <c r="AO110" s="70"/>
      <c r="AP110" s="71">
        <f t="shared" si="72"/>
        <v>0</v>
      </c>
      <c r="AQ110" s="69">
        <f t="shared" si="73"/>
        <v>0</v>
      </c>
      <c r="AR110" s="69">
        <f t="shared" si="74"/>
        <v>0</v>
      </c>
      <c r="AS110" s="69"/>
      <c r="AT110" s="69"/>
      <c r="AU110" s="69"/>
      <c r="AV110" s="69"/>
      <c r="AW110" s="69"/>
      <c r="AX110" s="69"/>
      <c r="AY110" s="69"/>
      <c r="AZ110" s="72"/>
      <c r="BB110" s="45">
        <f>IF(AND(AB110="",AC110=""),T110,IF(AC110="",AB110,AC110))</f>
        <v>0</v>
      </c>
      <c r="BC110" s="45">
        <f>+X110</f>
        <v>0</v>
      </c>
      <c r="BD110" s="45"/>
      <c r="BE110" s="45">
        <f t="shared" si="75"/>
        <v>0</v>
      </c>
      <c r="BF110" s="39" t="e">
        <f t="shared" si="76"/>
        <v>#DIV/0!</v>
      </c>
    </row>
    <row r="111" spans="1:58" s="20" customFormat="1" ht="12.75" x14ac:dyDescent="0.2">
      <c r="A111" s="53">
        <f>IF(ISBLANK(F111),"",COUNTA($F$6:F111))</f>
        <v>106</v>
      </c>
      <c r="B111" s="54" t="s">
        <v>60</v>
      </c>
      <c r="C111" s="54" t="s">
        <v>61</v>
      </c>
      <c r="D111" s="55"/>
      <c r="E111" s="56" t="s">
        <v>65</v>
      </c>
      <c r="F111" s="57">
        <v>46264</v>
      </c>
      <c r="G111" s="58" t="s">
        <v>69</v>
      </c>
      <c r="H111" s="58">
        <v>59</v>
      </c>
      <c r="I111" s="58">
        <v>1</v>
      </c>
      <c r="J111" s="58" t="s">
        <v>67</v>
      </c>
      <c r="K111" s="59">
        <v>162011739</v>
      </c>
      <c r="L111" s="60">
        <v>46264</v>
      </c>
      <c r="M111" s="61"/>
      <c r="N111" s="62"/>
      <c r="O111" s="63"/>
      <c r="P111" s="63"/>
      <c r="Q111" s="63"/>
      <c r="R111" s="64"/>
      <c r="S111" s="64"/>
      <c r="T111" s="64">
        <f t="shared" si="70"/>
        <v>0</v>
      </c>
      <c r="U111" s="64"/>
      <c r="V111" s="64"/>
      <c r="W111" s="64"/>
      <c r="X111" s="64"/>
      <c r="Y111" s="64"/>
      <c r="Z111" s="64">
        <f>+T111-X111</f>
        <v>0</v>
      </c>
      <c r="AA111" s="65" t="e">
        <f>Z111/T111</f>
        <v>#DIV/0!</v>
      </c>
      <c r="AB111" s="66"/>
      <c r="AC111" s="66"/>
      <c r="AD111" s="66"/>
      <c r="AE111" s="65"/>
      <c r="AF111" s="67"/>
      <c r="AG111" s="67"/>
      <c r="AH111" s="68"/>
      <c r="AI111" s="68">
        <f t="shared" si="71"/>
        <v>0</v>
      </c>
      <c r="AJ111" s="69"/>
      <c r="AK111" s="69"/>
      <c r="AL111" s="69"/>
      <c r="AM111" s="70"/>
      <c r="AN111" s="70"/>
      <c r="AO111" s="70"/>
      <c r="AP111" s="71">
        <f t="shared" si="72"/>
        <v>0</v>
      </c>
      <c r="AQ111" s="69">
        <f t="shared" si="73"/>
        <v>0</v>
      </c>
      <c r="AR111" s="69">
        <f t="shared" si="74"/>
        <v>0</v>
      </c>
      <c r="AS111" s="69"/>
      <c r="AT111" s="69"/>
      <c r="AU111" s="69"/>
      <c r="AV111" s="69"/>
      <c r="AW111" s="69"/>
      <c r="AX111" s="69"/>
      <c r="AY111" s="69"/>
      <c r="AZ111" s="72"/>
      <c r="BB111" s="45">
        <f>IF(AND(AB111="",AC111=""),T111,IF(AC111="",AB111,AC111))</f>
        <v>0</v>
      </c>
      <c r="BC111" s="45">
        <f>+X111</f>
        <v>0</v>
      </c>
      <c r="BD111" s="45"/>
      <c r="BE111" s="45">
        <f t="shared" si="75"/>
        <v>0</v>
      </c>
      <c r="BF111" s="39" t="e">
        <f t="shared" si="76"/>
        <v>#DIV/0!</v>
      </c>
    </row>
    <row r="112" spans="1:58" s="20" customFormat="1" ht="12.75" x14ac:dyDescent="0.2">
      <c r="A112" s="53">
        <f>IF(ISBLANK(F112),"",COUNTA($F$6:F112))</f>
        <v>107</v>
      </c>
      <c r="B112" s="54" t="s">
        <v>60</v>
      </c>
      <c r="C112" s="54" t="s">
        <v>61</v>
      </c>
      <c r="D112" s="55"/>
      <c r="E112" s="56" t="s">
        <v>65</v>
      </c>
      <c r="F112" s="57">
        <v>46264</v>
      </c>
      <c r="G112" s="58" t="s">
        <v>59</v>
      </c>
      <c r="H112" s="58">
        <v>59</v>
      </c>
      <c r="I112" s="58">
        <v>3</v>
      </c>
      <c r="J112" s="58" t="s">
        <v>67</v>
      </c>
      <c r="K112" s="59">
        <v>162011741</v>
      </c>
      <c r="L112" s="60">
        <v>46265</v>
      </c>
      <c r="M112" s="61"/>
      <c r="N112" s="62"/>
      <c r="O112" s="63"/>
      <c r="P112" s="63"/>
      <c r="Q112" s="63"/>
      <c r="R112" s="64"/>
      <c r="S112" s="64"/>
      <c r="T112" s="64">
        <f t="shared" si="70"/>
        <v>0</v>
      </c>
      <c r="U112" s="64"/>
      <c r="V112" s="64"/>
      <c r="W112" s="64"/>
      <c r="X112" s="64"/>
      <c r="Y112" s="64"/>
      <c r="Z112" s="64">
        <f>+T112-X112</f>
        <v>0</v>
      </c>
      <c r="AA112" s="65" t="e">
        <f>Z112/T112</f>
        <v>#DIV/0!</v>
      </c>
      <c r="AB112" s="66"/>
      <c r="AC112" s="66"/>
      <c r="AD112" s="66"/>
      <c r="AE112" s="65"/>
      <c r="AF112" s="67"/>
      <c r="AG112" s="67"/>
      <c r="AH112" s="68"/>
      <c r="AI112" s="68">
        <f t="shared" si="71"/>
        <v>0</v>
      </c>
      <c r="AJ112" s="69"/>
      <c r="AK112" s="69"/>
      <c r="AL112" s="69"/>
      <c r="AM112" s="70"/>
      <c r="AN112" s="70"/>
      <c r="AO112" s="70"/>
      <c r="AP112" s="71">
        <f t="shared" si="72"/>
        <v>0</v>
      </c>
      <c r="AQ112" s="69">
        <f t="shared" si="73"/>
        <v>0</v>
      </c>
      <c r="AR112" s="69">
        <f t="shared" si="74"/>
        <v>0</v>
      </c>
      <c r="AS112" s="69"/>
      <c r="AT112" s="69"/>
      <c r="AU112" s="69"/>
      <c r="AV112" s="69"/>
      <c r="AW112" s="69"/>
      <c r="AX112" s="69"/>
      <c r="AY112" s="69"/>
      <c r="AZ112" s="72"/>
      <c r="BB112" s="45">
        <f>IF(AND(AB112="",AC112=""),T112,IF(AC112="",AB112,AC112))</f>
        <v>0</v>
      </c>
      <c r="BC112" s="45">
        <f>+X112</f>
        <v>0</v>
      </c>
      <c r="BD112" s="45"/>
      <c r="BE112" s="45">
        <f t="shared" si="75"/>
        <v>0</v>
      </c>
      <c r="BF112" s="39" t="e">
        <f t="shared" si="76"/>
        <v>#DIV/0!</v>
      </c>
    </row>
    <row r="113" spans="1:58" s="20" customFormat="1" ht="12.75" x14ac:dyDescent="0.2">
      <c r="A113" s="53">
        <f>IF(ISBLANK(F113),"",COUNTA($F$6:F113))</f>
        <v>108</v>
      </c>
      <c r="B113" s="54" t="s">
        <v>60</v>
      </c>
      <c r="C113" s="54" t="s">
        <v>61</v>
      </c>
      <c r="D113" s="55"/>
      <c r="E113" s="56" t="s">
        <v>65</v>
      </c>
      <c r="F113" s="57">
        <v>46265</v>
      </c>
      <c r="G113" s="58" t="s">
        <v>59</v>
      </c>
      <c r="H113" s="58">
        <v>58</v>
      </c>
      <c r="I113" s="58">
        <v>1</v>
      </c>
      <c r="J113" s="58" t="s">
        <v>67</v>
      </c>
      <c r="K113" s="59">
        <v>162011743</v>
      </c>
      <c r="L113" s="60">
        <v>46265</v>
      </c>
      <c r="M113" s="61"/>
      <c r="N113" s="62"/>
      <c r="O113" s="63"/>
      <c r="P113" s="63"/>
      <c r="Q113" s="63"/>
      <c r="R113" s="64"/>
      <c r="S113" s="64"/>
      <c r="T113" s="64">
        <f t="shared" si="63"/>
        <v>0</v>
      </c>
      <c r="U113" s="64"/>
      <c r="V113" s="64"/>
      <c r="W113" s="64"/>
      <c r="X113" s="64"/>
      <c r="Y113" s="64"/>
      <c r="Z113" s="64">
        <f>+T113-X113</f>
        <v>0</v>
      </c>
      <c r="AA113" s="65" t="e">
        <f>Z113/T113</f>
        <v>#DIV/0!</v>
      </c>
      <c r="AB113" s="66"/>
      <c r="AC113" s="66"/>
      <c r="AD113" s="66"/>
      <c r="AE113" s="65"/>
      <c r="AF113" s="67"/>
      <c r="AG113" s="67"/>
      <c r="AH113" s="68"/>
      <c r="AI113" s="68">
        <f t="shared" si="64"/>
        <v>0</v>
      </c>
      <c r="AJ113" s="69"/>
      <c r="AK113" s="69"/>
      <c r="AL113" s="69"/>
      <c r="AM113" s="70"/>
      <c r="AN113" s="70"/>
      <c r="AO113" s="70"/>
      <c r="AP113" s="71">
        <f t="shared" si="65"/>
        <v>0</v>
      </c>
      <c r="AQ113" s="69">
        <f t="shared" si="66"/>
        <v>0</v>
      </c>
      <c r="AR113" s="69">
        <f t="shared" si="67"/>
        <v>0</v>
      </c>
      <c r="AS113" s="69"/>
      <c r="AT113" s="69"/>
      <c r="AU113" s="69"/>
      <c r="AV113" s="69"/>
      <c r="AW113" s="69"/>
      <c r="AX113" s="69"/>
      <c r="AY113" s="69"/>
      <c r="AZ113" s="72"/>
      <c r="BB113" s="45">
        <f>IF(AND(AB113="",AC113=""),T113,IF(AC113="",AB113,AC113))</f>
        <v>0</v>
      </c>
      <c r="BC113" s="45">
        <f>+X113</f>
        <v>0</v>
      </c>
      <c r="BD113" s="45"/>
      <c r="BE113" s="45">
        <f t="shared" si="68"/>
        <v>0</v>
      </c>
      <c r="BF113" s="39" t="e">
        <f t="shared" si="69"/>
        <v>#DIV/0!</v>
      </c>
    </row>
    <row r="114" spans="1:58" s="20" customFormat="1" ht="12.75" x14ac:dyDescent="0.2">
      <c r="A114" s="53">
        <f>IF(ISBLANK(F114),"",COUNTA($F$6:F114))</f>
        <v>109</v>
      </c>
      <c r="B114" s="54" t="s">
        <v>60</v>
      </c>
      <c r="C114" s="54" t="s">
        <v>61</v>
      </c>
      <c r="D114" s="55"/>
      <c r="E114" s="56" t="s">
        <v>65</v>
      </c>
      <c r="F114" s="57">
        <v>46265</v>
      </c>
      <c r="G114" s="58" t="s">
        <v>59</v>
      </c>
      <c r="H114" s="58">
        <v>58</v>
      </c>
      <c r="I114" s="58">
        <v>2</v>
      </c>
      <c r="J114" s="58" t="s">
        <v>67</v>
      </c>
      <c r="K114" s="59">
        <v>162011744</v>
      </c>
      <c r="L114" s="60">
        <v>46266</v>
      </c>
      <c r="M114" s="61"/>
      <c r="N114" s="62"/>
      <c r="O114" s="63"/>
      <c r="P114" s="63"/>
      <c r="Q114" s="63"/>
      <c r="R114" s="64"/>
      <c r="S114" s="64"/>
      <c r="T114" s="64">
        <f t="shared" si="63"/>
        <v>0</v>
      </c>
      <c r="U114" s="64"/>
      <c r="V114" s="64"/>
      <c r="W114" s="64"/>
      <c r="X114" s="64"/>
      <c r="Y114" s="64"/>
      <c r="Z114" s="64">
        <f>+T114-X114</f>
        <v>0</v>
      </c>
      <c r="AA114" s="65" t="e">
        <f>Z114/T114</f>
        <v>#DIV/0!</v>
      </c>
      <c r="AB114" s="66"/>
      <c r="AC114" s="66"/>
      <c r="AD114" s="66"/>
      <c r="AE114" s="65"/>
      <c r="AF114" s="67"/>
      <c r="AG114" s="67"/>
      <c r="AH114" s="68"/>
      <c r="AI114" s="68">
        <f t="shared" si="64"/>
        <v>0</v>
      </c>
      <c r="AJ114" s="69"/>
      <c r="AK114" s="69"/>
      <c r="AL114" s="69"/>
      <c r="AM114" s="70"/>
      <c r="AN114" s="70"/>
      <c r="AO114" s="70"/>
      <c r="AP114" s="71">
        <f t="shared" si="65"/>
        <v>0</v>
      </c>
      <c r="AQ114" s="69">
        <f t="shared" si="66"/>
        <v>0</v>
      </c>
      <c r="AR114" s="69">
        <f t="shared" si="67"/>
        <v>0</v>
      </c>
      <c r="AS114" s="69"/>
      <c r="AT114" s="69"/>
      <c r="AU114" s="69"/>
      <c r="AV114" s="69"/>
      <c r="AW114" s="69"/>
      <c r="AX114" s="69"/>
      <c r="AY114" s="69"/>
      <c r="AZ114" s="72"/>
      <c r="BB114" s="45">
        <f>IF(AND(AB114="",AC114=""),T114,IF(AC114="",AB114,AC114))</f>
        <v>0</v>
      </c>
      <c r="BC114" s="45">
        <f>+X114</f>
        <v>0</v>
      </c>
      <c r="BD114" s="45"/>
      <c r="BE114" s="45">
        <f t="shared" si="68"/>
        <v>0</v>
      </c>
      <c r="BF114" s="39" t="e">
        <f t="shared" si="69"/>
        <v>#DIV/0!</v>
      </c>
    </row>
    <row r="115" spans="1:58" s="20" customFormat="1" ht="12.75" x14ac:dyDescent="0.2">
      <c r="A115" s="21" t="str">
        <f>IF(ISBLANK(F115),"",COUNTA($F$6:F115))</f>
        <v/>
      </c>
      <c r="B115" s="37" t="s">
        <v>60</v>
      </c>
      <c r="C115" s="37" t="s">
        <v>61</v>
      </c>
      <c r="D115" s="22"/>
      <c r="E115" s="23"/>
      <c r="F115" s="36"/>
      <c r="G115" s="24"/>
      <c r="H115" s="24"/>
      <c r="I115" s="24"/>
      <c r="J115" s="24"/>
      <c r="K115" s="25"/>
      <c r="L115" s="26"/>
      <c r="M115" s="38"/>
      <c r="N115" s="52"/>
      <c r="O115" s="27"/>
      <c r="P115" s="27"/>
      <c r="Q115" s="27"/>
      <c r="R115" s="28"/>
      <c r="S115" s="28"/>
      <c r="T115" s="46">
        <f t="shared" si="56"/>
        <v>0</v>
      </c>
      <c r="U115" s="28"/>
      <c r="V115" s="28"/>
      <c r="W115" s="28"/>
      <c r="X115" s="28"/>
      <c r="Y115" s="28"/>
      <c r="Z115" s="28">
        <f>+T115-X115</f>
        <v>0</v>
      </c>
      <c r="AA115" s="29" t="e">
        <f>Z115/T115</f>
        <v>#DIV/0!</v>
      </c>
      <c r="AB115" s="40"/>
      <c r="AC115" s="40"/>
      <c r="AD115" s="40"/>
      <c r="AE115" s="29"/>
      <c r="AF115" s="30"/>
      <c r="AG115" s="30"/>
      <c r="AH115" s="31"/>
      <c r="AI115" s="31">
        <f t="shared" si="57"/>
        <v>0</v>
      </c>
      <c r="AJ115" s="32"/>
      <c r="AK115" s="32"/>
      <c r="AL115" s="32"/>
      <c r="AM115" s="33"/>
      <c r="AN115" s="33"/>
      <c r="AO115" s="33"/>
      <c r="AP115" s="34">
        <f t="shared" si="58"/>
        <v>0</v>
      </c>
      <c r="AQ115" s="32">
        <f t="shared" si="59"/>
        <v>0</v>
      </c>
      <c r="AR115" s="32">
        <f t="shared" si="6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>IF(AND(AB115="",AC115=""),T115,IF(AC115="",AB115,AC115))</f>
        <v>0</v>
      </c>
      <c r="BC115" s="45">
        <f>+X115</f>
        <v>0</v>
      </c>
      <c r="BD115" s="45"/>
      <c r="BE115" s="45">
        <f t="shared" si="61"/>
        <v>0</v>
      </c>
      <c r="BF115" s="39" t="e">
        <f t="shared" si="62"/>
        <v>#DIV/0!</v>
      </c>
    </row>
    <row r="116" spans="1:58" s="20" customFormat="1" ht="12.75" x14ac:dyDescent="0.2">
      <c r="A116" s="21" t="str">
        <f>IF(ISBLANK(F116),"",COUNTA($F$6:F116))</f>
        <v/>
      </c>
      <c r="B116" s="37" t="s">
        <v>60</v>
      </c>
      <c r="C116" s="37" t="s">
        <v>61</v>
      </c>
      <c r="D116" s="22"/>
      <c r="E116" s="23"/>
      <c r="F116" s="36"/>
      <c r="G116" s="24"/>
      <c r="H116" s="24"/>
      <c r="I116" s="24"/>
      <c r="J116" s="24"/>
      <c r="K116" s="25"/>
      <c r="L116" s="26"/>
      <c r="M116" s="38"/>
      <c r="N116" s="52"/>
      <c r="O116" s="27"/>
      <c r="P116" s="27"/>
      <c r="Q116" s="27"/>
      <c r="R116" s="28"/>
      <c r="S116" s="28"/>
      <c r="T116" s="46">
        <f t="shared" si="0"/>
        <v>0</v>
      </c>
      <c r="U116" s="28"/>
      <c r="V116" s="28"/>
      <c r="W116" s="28"/>
      <c r="X116" s="28"/>
      <c r="Y116" s="28"/>
      <c r="Z116" s="28">
        <f>+T116-X116</f>
        <v>0</v>
      </c>
      <c r="AA116" s="29" t="e">
        <f>Z116/T116</f>
        <v>#DIV/0!</v>
      </c>
      <c r="AB116" s="40"/>
      <c r="AC116" s="40"/>
      <c r="AD116" s="40"/>
      <c r="AE116" s="29"/>
      <c r="AF116" s="30"/>
      <c r="AG116" s="30"/>
      <c r="AH116" s="31"/>
      <c r="AI116" s="31">
        <f t="shared" si="1"/>
        <v>0</v>
      </c>
      <c r="AJ116" s="32"/>
      <c r="AK116" s="32"/>
      <c r="AL116" s="32"/>
      <c r="AM116" s="33"/>
      <c r="AN116" s="33"/>
      <c r="AO116" s="33"/>
      <c r="AP116" s="34">
        <f t="shared" si="2"/>
        <v>0</v>
      </c>
      <c r="AQ116" s="32">
        <f t="shared" si="3"/>
        <v>0</v>
      </c>
      <c r="AR116" s="32">
        <f t="shared" si="4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>IF(AND(AB116="",AC116=""),T116,IF(AC116="",AB116,AC116))</f>
        <v>0</v>
      </c>
      <c r="BC116" s="45">
        <f>+X116</f>
        <v>0</v>
      </c>
      <c r="BD116" s="45"/>
      <c r="BE116" s="45">
        <f t="shared" si="54"/>
        <v>0</v>
      </c>
      <c r="BF116" s="39" t="e">
        <f t="shared" si="55"/>
        <v>#DIV/0!</v>
      </c>
    </row>
    <row r="117" spans="1:58" ht="15.75" thickBot="1" x14ac:dyDescent="0.3">
      <c r="A117" s="9">
        <f>+COUNT(A6:A116)</f>
        <v>109</v>
      </c>
      <c r="B117" s="10">
        <f>+COUNTIF(X6:X116,"&gt;0")</f>
        <v>102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1"/>
      <c r="M117" s="10"/>
      <c r="N117" s="10"/>
      <c r="O117" s="10"/>
      <c r="P117" s="10"/>
      <c r="Q117" s="10"/>
      <c r="R117" s="12">
        <f t="shared" ref="R117:Y117" si="77">SUM(R6:R116)</f>
        <v>512101.59</v>
      </c>
      <c r="S117" s="12">
        <f t="shared" si="77"/>
        <v>119450.98999999999</v>
      </c>
      <c r="T117" s="12">
        <f t="shared" si="77"/>
        <v>392650.60000000003</v>
      </c>
      <c r="U117" s="12">
        <f t="shared" si="77"/>
        <v>395068.10000000015</v>
      </c>
      <c r="V117" s="12">
        <f t="shared" si="77"/>
        <v>0</v>
      </c>
      <c r="W117" s="12">
        <f t="shared" si="77"/>
        <v>0</v>
      </c>
      <c r="X117" s="12">
        <f t="shared" si="77"/>
        <v>391291.65000000014</v>
      </c>
      <c r="Y117" s="12">
        <f t="shared" si="77"/>
        <v>0</v>
      </c>
      <c r="Z117" s="12">
        <f>T117-X117</f>
        <v>1358.9499999998952</v>
      </c>
      <c r="AA117" s="13">
        <f>Z117/T117</f>
        <v>3.4609650411839307E-3</v>
      </c>
      <c r="AB117" s="41"/>
      <c r="AC117" s="41"/>
      <c r="AD117" s="41"/>
      <c r="AE117" s="13"/>
      <c r="AF117" s="12">
        <f>SUM(AF6:AF116)</f>
        <v>0</v>
      </c>
      <c r="AG117" s="12">
        <f>SUM(AG6:AG116)</f>
        <v>0</v>
      </c>
      <c r="AH117" s="12">
        <f>SUM(AH6:AH116)</f>
        <v>0</v>
      </c>
      <c r="AI117" s="12">
        <f>SUM(AI6:AI116)</f>
        <v>0</v>
      </c>
      <c r="AJ117" s="14"/>
      <c r="AK117" s="14"/>
      <c r="AL117" s="12"/>
      <c r="AM117" s="15"/>
      <c r="AN117" s="16"/>
      <c r="AO117" s="16"/>
      <c r="AP117" s="17"/>
      <c r="AQ117" s="10">
        <f>SUM(AQ6:AQ116)</f>
        <v>0</v>
      </c>
      <c r="AR117" s="18">
        <f>SUM(AR6:AR116)</f>
        <v>0</v>
      </c>
      <c r="AS117" s="10">
        <f>SUM(AS6:AS116)</f>
        <v>0</v>
      </c>
      <c r="AT117" s="10">
        <f>SUM(AT6:AT116)</f>
        <v>0</v>
      </c>
      <c r="AU117" s="10">
        <f>SUM(AU6:AU116)</f>
        <v>0</v>
      </c>
      <c r="AV117" s="10">
        <f>+SUM(AV6:AV116)</f>
        <v>0</v>
      </c>
      <c r="AW117" s="10">
        <f>SUM(AW6:AW116)</f>
        <v>0</v>
      </c>
      <c r="AX117" s="10">
        <f>SUM(AX6:AX116)</f>
        <v>0</v>
      </c>
      <c r="AY117" s="10">
        <f>SUM(AY6:AY116)</f>
        <v>0</v>
      </c>
      <c r="AZ117" s="19"/>
      <c r="BB117" s="42">
        <f>SUM(BB6:BB116)</f>
        <v>394345.07999999984</v>
      </c>
      <c r="BC117" s="42">
        <f>SUM(BC6:BC116)</f>
        <v>391291.65000000014</v>
      </c>
      <c r="BD117" s="42">
        <f>SUM(BD6:BD116)</f>
        <v>0</v>
      </c>
      <c r="BE117" s="42">
        <f>SUM(BE6:BE116)</f>
        <v>3053.4299999999967</v>
      </c>
      <c r="BF117" s="43">
        <f t="shared" si="55"/>
        <v>7.7430406891344956E-3</v>
      </c>
    </row>
  </sheetData>
  <conditionalFormatting sqref="K6:K12">
    <cfRule type="duplicateValues" dxfId="108" priority="1074"/>
  </conditionalFormatting>
  <conditionalFormatting sqref="K6:K12">
    <cfRule type="duplicateValues" dxfId="107" priority="1075"/>
    <cfRule type="duplicateValues" dxfId="106" priority="1076"/>
  </conditionalFormatting>
  <conditionalFormatting sqref="K116">
    <cfRule type="duplicateValues" dxfId="105" priority="1077"/>
  </conditionalFormatting>
  <conditionalFormatting sqref="K116">
    <cfRule type="duplicateValues" dxfId="104" priority="1078"/>
    <cfRule type="duplicateValues" dxfId="103" priority="1079"/>
  </conditionalFormatting>
  <conditionalFormatting sqref="K116 K5">
    <cfRule type="duplicateValues" dxfId="102" priority="1080"/>
  </conditionalFormatting>
  <conditionalFormatting sqref="K116:K117 K5">
    <cfRule type="duplicateValues" dxfId="101" priority="1082"/>
  </conditionalFormatting>
  <conditionalFormatting sqref="K116:K117">
    <cfRule type="duplicateValues" dxfId="100" priority="1084"/>
  </conditionalFormatting>
  <conditionalFormatting sqref="K13:K14 K88">
    <cfRule type="duplicateValues" dxfId="99" priority="1085"/>
  </conditionalFormatting>
  <conditionalFormatting sqref="K13:K14 K88">
    <cfRule type="duplicateValues" dxfId="98" priority="1087"/>
    <cfRule type="duplicateValues" dxfId="97" priority="1088"/>
  </conditionalFormatting>
  <conditionalFormatting sqref="K13:K14 K5 K88 K116:K117">
    <cfRule type="duplicateValues" dxfId="96" priority="1091"/>
  </conditionalFormatting>
  <conditionalFormatting sqref="K88 K5:K14 K116:K117">
    <cfRule type="duplicateValues" dxfId="95" priority="1094"/>
  </conditionalFormatting>
  <conditionalFormatting sqref="K36 K15:K26">
    <cfRule type="duplicateValues" dxfId="94" priority="1096"/>
  </conditionalFormatting>
  <conditionalFormatting sqref="K36 K15:K26">
    <cfRule type="duplicateValues" dxfId="93" priority="1098"/>
    <cfRule type="duplicateValues" dxfId="92" priority="1099"/>
  </conditionalFormatting>
  <conditionalFormatting sqref="K15:K26">
    <cfRule type="duplicateValues" dxfId="91" priority="1102"/>
  </conditionalFormatting>
  <conditionalFormatting sqref="K27:K35">
    <cfRule type="duplicateValues" dxfId="90" priority="1103"/>
  </conditionalFormatting>
  <conditionalFormatting sqref="K27:K35">
    <cfRule type="duplicateValues" dxfId="89" priority="1104"/>
    <cfRule type="duplicateValues" dxfId="88" priority="1105"/>
  </conditionalFormatting>
  <conditionalFormatting sqref="K5:K36 K88 K116:K117">
    <cfRule type="duplicateValues" dxfId="87" priority="1106"/>
  </conditionalFormatting>
  <conditionalFormatting sqref="K37:K54 K61:K64">
    <cfRule type="duplicateValues" dxfId="86" priority="96"/>
  </conditionalFormatting>
  <conditionalFormatting sqref="K37:K54 K61:K64">
    <cfRule type="duplicateValues" dxfId="85" priority="97"/>
    <cfRule type="duplicateValues" dxfId="84" priority="98"/>
  </conditionalFormatting>
  <conditionalFormatting sqref="K37:K54">
    <cfRule type="duplicateValues" dxfId="83" priority="99"/>
  </conditionalFormatting>
  <conditionalFormatting sqref="K37:K54">
    <cfRule type="duplicateValues" dxfId="82" priority="100"/>
  </conditionalFormatting>
  <conditionalFormatting sqref="K37:K54">
    <cfRule type="duplicateValues" dxfId="81" priority="101"/>
  </conditionalFormatting>
  <conditionalFormatting sqref="K6:K54 K61:K64 K88 K116:K117">
    <cfRule type="duplicateValues" dxfId="80" priority="92"/>
  </conditionalFormatting>
  <conditionalFormatting sqref="K55:K60">
    <cfRule type="duplicateValues" dxfId="79" priority="83"/>
  </conditionalFormatting>
  <conditionalFormatting sqref="K55:K60">
    <cfRule type="duplicateValues" dxfId="78" priority="84"/>
    <cfRule type="duplicateValues" dxfId="77" priority="85"/>
  </conditionalFormatting>
  <conditionalFormatting sqref="K55:K60">
    <cfRule type="duplicateValues" dxfId="76" priority="86"/>
  </conditionalFormatting>
  <conditionalFormatting sqref="K55:K60">
    <cfRule type="duplicateValues" dxfId="75" priority="87"/>
  </conditionalFormatting>
  <conditionalFormatting sqref="K55:K60">
    <cfRule type="duplicateValues" dxfId="74" priority="88"/>
  </conditionalFormatting>
  <conditionalFormatting sqref="K55:K60">
    <cfRule type="duplicateValues" dxfId="73" priority="82"/>
  </conditionalFormatting>
  <conditionalFormatting sqref="K6:K64 K88 K116:K117">
    <cfRule type="duplicateValues" dxfId="72" priority="81"/>
  </conditionalFormatting>
  <conditionalFormatting sqref="K65:K87">
    <cfRule type="duplicateValues" dxfId="71" priority="72"/>
  </conditionalFormatting>
  <conditionalFormatting sqref="K65:K87">
    <cfRule type="duplicateValues" dxfId="70" priority="73"/>
    <cfRule type="duplicateValues" dxfId="69" priority="74"/>
  </conditionalFormatting>
  <conditionalFormatting sqref="K65:K87">
    <cfRule type="duplicateValues" dxfId="68" priority="75"/>
  </conditionalFormatting>
  <conditionalFormatting sqref="K65:K87">
    <cfRule type="duplicateValues" dxfId="67" priority="76"/>
  </conditionalFormatting>
  <conditionalFormatting sqref="K65:K87">
    <cfRule type="duplicateValues" dxfId="66" priority="77"/>
  </conditionalFormatting>
  <conditionalFormatting sqref="K65:K87">
    <cfRule type="duplicateValues" dxfId="65" priority="71"/>
  </conditionalFormatting>
  <conditionalFormatting sqref="K65:K87">
    <cfRule type="duplicateValues" dxfId="64" priority="70"/>
  </conditionalFormatting>
  <conditionalFormatting sqref="K6:K88 K116:K117">
    <cfRule type="duplicateValues" dxfId="63" priority="69"/>
  </conditionalFormatting>
  <conditionalFormatting sqref="K5:K88 K116:K117">
    <cfRule type="duplicateValues" dxfId="62" priority="64"/>
    <cfRule type="duplicateValues" dxfId="61" priority="66"/>
    <cfRule type="duplicateValues" dxfId="60" priority="67"/>
    <cfRule type="duplicateValues" dxfId="59" priority="68"/>
  </conditionalFormatting>
  <conditionalFormatting sqref="K5:K88">
    <cfRule type="duplicateValues" dxfId="58" priority="65"/>
  </conditionalFormatting>
  <conditionalFormatting sqref="K89:K94 K115">
    <cfRule type="duplicateValues" dxfId="57" priority="52"/>
  </conditionalFormatting>
  <conditionalFormatting sqref="K89:K94 K115">
    <cfRule type="duplicateValues" dxfId="56" priority="53"/>
    <cfRule type="duplicateValues" dxfId="55" priority="54"/>
  </conditionalFormatting>
  <conditionalFormatting sqref="K89:K94">
    <cfRule type="duplicateValues" dxfId="54" priority="55"/>
  </conditionalFormatting>
  <conditionalFormatting sqref="K89:K94">
    <cfRule type="duplicateValues" dxfId="53" priority="56"/>
  </conditionalFormatting>
  <conditionalFormatting sqref="K89:K94">
    <cfRule type="duplicateValues" dxfId="52" priority="57"/>
  </conditionalFormatting>
  <conditionalFormatting sqref="K89:K94">
    <cfRule type="duplicateValues" dxfId="51" priority="58"/>
  </conditionalFormatting>
  <conditionalFormatting sqref="K89:K94">
    <cfRule type="duplicateValues" dxfId="50" priority="59"/>
  </conditionalFormatting>
  <conditionalFormatting sqref="K89:K94">
    <cfRule type="duplicateValues" dxfId="49" priority="60"/>
  </conditionalFormatting>
  <conditionalFormatting sqref="K89:K94">
    <cfRule type="duplicateValues" dxfId="48" priority="51"/>
  </conditionalFormatting>
  <conditionalFormatting sqref="K89:K94">
    <cfRule type="duplicateValues" dxfId="47" priority="50"/>
  </conditionalFormatting>
  <conditionalFormatting sqref="K89:K94">
    <cfRule type="duplicateValues" dxfId="46" priority="49"/>
  </conditionalFormatting>
  <conditionalFormatting sqref="K89:K94 K115">
    <cfRule type="duplicateValues" dxfId="45" priority="45"/>
    <cfRule type="duplicateValues" dxfId="44" priority="46"/>
    <cfRule type="duplicateValues" dxfId="43" priority="47"/>
    <cfRule type="duplicateValues" dxfId="42" priority="48"/>
  </conditionalFormatting>
  <conditionalFormatting sqref="K5:K94 K115:K117">
    <cfRule type="duplicateValues" dxfId="41" priority="44"/>
  </conditionalFormatting>
  <conditionalFormatting sqref="K95:K102 K113:K114">
    <cfRule type="duplicateValues" dxfId="40" priority="32"/>
  </conditionalFormatting>
  <conditionalFormatting sqref="K95:K102 K113:K114">
    <cfRule type="duplicateValues" dxfId="39" priority="33"/>
    <cfRule type="duplicateValues" dxfId="38" priority="34"/>
  </conditionalFormatting>
  <conditionalFormatting sqref="K95:K102 K113:K114">
    <cfRule type="duplicateValues" dxfId="37" priority="35"/>
  </conditionalFormatting>
  <conditionalFormatting sqref="K95:K102 K113:K114">
    <cfRule type="duplicateValues" dxfId="36" priority="36"/>
  </conditionalFormatting>
  <conditionalFormatting sqref="K95:K102 K113:K114">
    <cfRule type="duplicateValues" dxfId="35" priority="37"/>
  </conditionalFormatting>
  <conditionalFormatting sqref="K95:K102 K113:K114">
    <cfRule type="duplicateValues" dxfId="34" priority="38"/>
  </conditionalFormatting>
  <conditionalFormatting sqref="K95:K102 K113:K114">
    <cfRule type="duplicateValues" dxfId="33" priority="39"/>
  </conditionalFormatting>
  <conditionalFormatting sqref="K95:K102 K113:K114">
    <cfRule type="duplicateValues" dxfId="32" priority="40"/>
  </conditionalFormatting>
  <conditionalFormatting sqref="K95:K102 K113:K114">
    <cfRule type="duplicateValues" dxfId="31" priority="31"/>
  </conditionalFormatting>
  <conditionalFormatting sqref="K95:K102 K113:K114">
    <cfRule type="duplicateValues" dxfId="30" priority="30"/>
  </conditionalFormatting>
  <conditionalFormatting sqref="K95:K102 K113:K114">
    <cfRule type="duplicateValues" dxfId="29" priority="29"/>
  </conditionalFormatting>
  <conditionalFormatting sqref="K95:K102 K113:K114">
    <cfRule type="duplicateValues" dxfId="28" priority="25"/>
    <cfRule type="duplicateValues" dxfId="27" priority="26"/>
    <cfRule type="duplicateValues" dxfId="26" priority="27"/>
    <cfRule type="duplicateValues" dxfId="25" priority="28"/>
  </conditionalFormatting>
  <conditionalFormatting sqref="K95:K102 K113:K114">
    <cfRule type="duplicateValues" dxfId="24" priority="24"/>
  </conditionalFormatting>
  <conditionalFormatting sqref="K5:K102 K113:K117">
    <cfRule type="duplicateValues" dxfId="23" priority="23"/>
  </conditionalFormatting>
  <conditionalFormatting sqref="K103:K112">
    <cfRule type="duplicateValues" dxfId="22" priority="11"/>
  </conditionalFormatting>
  <conditionalFormatting sqref="K103:K112">
    <cfRule type="duplicateValues" dxfId="21" priority="12"/>
    <cfRule type="duplicateValues" dxfId="20" priority="13"/>
  </conditionalFormatting>
  <conditionalFormatting sqref="K103:K112">
    <cfRule type="duplicateValues" dxfId="19" priority="14"/>
  </conditionalFormatting>
  <conditionalFormatting sqref="K103:K112">
    <cfRule type="duplicateValues" dxfId="18" priority="15"/>
  </conditionalFormatting>
  <conditionalFormatting sqref="K103:K112">
    <cfRule type="duplicateValues" dxfId="17" priority="16"/>
  </conditionalFormatting>
  <conditionalFormatting sqref="K103:K112">
    <cfRule type="duplicateValues" dxfId="16" priority="17"/>
  </conditionalFormatting>
  <conditionalFormatting sqref="K103:K112">
    <cfRule type="duplicateValues" dxfId="15" priority="18"/>
  </conditionalFormatting>
  <conditionalFormatting sqref="K103:K112">
    <cfRule type="duplicateValues" dxfId="14" priority="19"/>
  </conditionalFormatting>
  <conditionalFormatting sqref="K103:K112">
    <cfRule type="duplicateValues" dxfId="13" priority="10"/>
  </conditionalFormatting>
  <conditionalFormatting sqref="K103:K112">
    <cfRule type="duplicateValues" dxfId="12" priority="9"/>
  </conditionalFormatting>
  <conditionalFormatting sqref="K103:K112">
    <cfRule type="duplicateValues" dxfId="11" priority="8"/>
  </conditionalFormatting>
  <conditionalFormatting sqref="K103:K112">
    <cfRule type="duplicateValues" dxfId="10" priority="4"/>
    <cfRule type="duplicateValues" dxfId="9" priority="5"/>
    <cfRule type="duplicateValues" dxfId="8" priority="6"/>
    <cfRule type="duplicateValues" dxfId="7" priority="7"/>
  </conditionalFormatting>
  <conditionalFormatting sqref="K103:K112">
    <cfRule type="duplicateValues" dxfId="6" priority="3"/>
  </conditionalFormatting>
  <conditionalFormatting sqref="K103:K112">
    <cfRule type="duplicateValues" dxfId="5" priority="2"/>
  </conditionalFormatting>
  <conditionalFormatting sqref="K5:K117">
    <cfRule type="duplicateValues" dxfId="4" priority="1"/>
  </conditionalFormatting>
  <conditionalFormatting sqref="BB6:BB116">
    <cfRule type="expression" dxfId="3" priority="1181">
      <formula>$AC6&lt;&gt;""</formula>
    </cfRule>
    <cfRule type="expression" dxfId="2" priority="1182">
      <formula>$AB6&lt;&gt;""</formula>
    </cfRule>
    <cfRule type="expression" dxfId="1" priority="1183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Jul-26</vt:lpstr>
      <vt:lpstr>Aug-26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2026-09-03T06:33:47Z</dcterms:modified>
</cp:coreProperties>
</file>