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Z:\MR1\PPGS\"/>
    </mc:Choice>
  </mc:AlternateContent>
  <xr:revisionPtr revIDLastSave="0" documentId="13_ncr:1_{E35E912E-6FE1-42DE-B4C7-33F1787AA36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Jul-26" sheetId="4" r:id="rId1"/>
    <sheet name="Aug-26" sheetId="5" r:id="rId2"/>
  </sheets>
  <definedNames>
    <definedName name="_xlnm._FilterDatabase" localSheetId="1" hidden="1">'Aug-26'!$A$5:$BF$5</definedName>
    <definedName name="_xlnm._FilterDatabase" localSheetId="0" hidden="1">'Jul-26'!$A$5:$BF$5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75" i="5" l="1"/>
  <c r="AP75" i="5"/>
  <c r="AQ75" i="5" s="1"/>
  <c r="AR75" i="5" s="1"/>
  <c r="AI75" i="5"/>
  <c r="T75" i="5"/>
  <c r="Z75" i="5" s="1"/>
  <c r="AA75" i="5" s="1"/>
  <c r="A75" i="5"/>
  <c r="BC73" i="5"/>
  <c r="AP73" i="5"/>
  <c r="AQ73" i="5" s="1"/>
  <c r="AR73" i="5" s="1"/>
  <c r="AI73" i="5"/>
  <c r="T73" i="5"/>
  <c r="Z73" i="5" s="1"/>
  <c r="AA73" i="5" s="1"/>
  <c r="A73" i="5"/>
  <c r="BC72" i="5"/>
  <c r="AP72" i="5"/>
  <c r="AQ72" i="5" s="1"/>
  <c r="AR72" i="5" s="1"/>
  <c r="AI72" i="5"/>
  <c r="T72" i="5"/>
  <c r="Z72" i="5" s="1"/>
  <c r="AA72" i="5" s="1"/>
  <c r="A72" i="5"/>
  <c r="BC71" i="5"/>
  <c r="AP71" i="5"/>
  <c r="AQ71" i="5" s="1"/>
  <c r="AR71" i="5" s="1"/>
  <c r="AI71" i="5"/>
  <c r="T71" i="5"/>
  <c r="Z71" i="5" s="1"/>
  <c r="AA71" i="5" s="1"/>
  <c r="A71" i="5"/>
  <c r="BC70" i="5"/>
  <c r="AP70" i="5"/>
  <c r="AQ70" i="5" s="1"/>
  <c r="AR70" i="5" s="1"/>
  <c r="AI70" i="5"/>
  <c r="T70" i="5"/>
  <c r="Z70" i="5" s="1"/>
  <c r="AA70" i="5" s="1"/>
  <c r="A70" i="5"/>
  <c r="BC69" i="5"/>
  <c r="AP69" i="5"/>
  <c r="AQ69" i="5" s="1"/>
  <c r="AR69" i="5" s="1"/>
  <c r="AI69" i="5"/>
  <c r="T69" i="5"/>
  <c r="Z69" i="5" s="1"/>
  <c r="AA69" i="5" s="1"/>
  <c r="A69" i="5"/>
  <c r="BC68" i="5"/>
  <c r="AP68" i="5"/>
  <c r="AQ68" i="5" s="1"/>
  <c r="AR68" i="5" s="1"/>
  <c r="AI68" i="5"/>
  <c r="T68" i="5"/>
  <c r="Z68" i="5" s="1"/>
  <c r="AA68" i="5" s="1"/>
  <c r="A68" i="5"/>
  <c r="BC67" i="5"/>
  <c r="AP67" i="5"/>
  <c r="AQ67" i="5" s="1"/>
  <c r="AR67" i="5" s="1"/>
  <c r="AI67" i="5"/>
  <c r="T67" i="5"/>
  <c r="Z67" i="5" s="1"/>
  <c r="AA67" i="5" s="1"/>
  <c r="A67" i="5"/>
  <c r="BC66" i="5"/>
  <c r="AP66" i="5"/>
  <c r="AQ66" i="5" s="1"/>
  <c r="AR66" i="5" s="1"/>
  <c r="AI66" i="5"/>
  <c r="T66" i="5"/>
  <c r="Z66" i="5" s="1"/>
  <c r="AA66" i="5" s="1"/>
  <c r="A66" i="5"/>
  <c r="BC87" i="5"/>
  <c r="AP87" i="5"/>
  <c r="AQ87" i="5" s="1"/>
  <c r="AR87" i="5" s="1"/>
  <c r="AI87" i="5"/>
  <c r="T87" i="5"/>
  <c r="Z87" i="5" s="1"/>
  <c r="AA87" i="5" s="1"/>
  <c r="A87" i="5"/>
  <c r="BC86" i="5"/>
  <c r="AP86" i="5"/>
  <c r="AQ86" i="5" s="1"/>
  <c r="AR86" i="5" s="1"/>
  <c r="AI86" i="5"/>
  <c r="T86" i="5"/>
  <c r="Z86" i="5" s="1"/>
  <c r="AA86" i="5" s="1"/>
  <c r="A86" i="5"/>
  <c r="BC85" i="5"/>
  <c r="AP85" i="5"/>
  <c r="AQ85" i="5" s="1"/>
  <c r="AR85" i="5" s="1"/>
  <c r="AI85" i="5"/>
  <c r="T85" i="5"/>
  <c r="Z85" i="5" s="1"/>
  <c r="AA85" i="5" s="1"/>
  <c r="A85" i="5"/>
  <c r="BC84" i="5"/>
  <c r="AP84" i="5"/>
  <c r="AQ84" i="5" s="1"/>
  <c r="AR84" i="5" s="1"/>
  <c r="AI84" i="5"/>
  <c r="T84" i="5"/>
  <c r="Z84" i="5" s="1"/>
  <c r="AA84" i="5" s="1"/>
  <c r="A84" i="5"/>
  <c r="BC83" i="5"/>
  <c r="AP83" i="5"/>
  <c r="AQ83" i="5" s="1"/>
  <c r="AR83" i="5" s="1"/>
  <c r="AI83" i="5"/>
  <c r="T83" i="5"/>
  <c r="Z83" i="5" s="1"/>
  <c r="AA83" i="5" s="1"/>
  <c r="A83" i="5"/>
  <c r="BC82" i="5"/>
  <c r="AP82" i="5"/>
  <c r="AQ82" i="5" s="1"/>
  <c r="AR82" i="5" s="1"/>
  <c r="AI82" i="5"/>
  <c r="T82" i="5"/>
  <c r="Z82" i="5" s="1"/>
  <c r="AA82" i="5" s="1"/>
  <c r="A82" i="5"/>
  <c r="BC81" i="5"/>
  <c r="AP81" i="5"/>
  <c r="AQ81" i="5" s="1"/>
  <c r="AR81" i="5" s="1"/>
  <c r="AI81" i="5"/>
  <c r="T81" i="5"/>
  <c r="Z81" i="5" s="1"/>
  <c r="AA81" i="5" s="1"/>
  <c r="A81" i="5"/>
  <c r="BC80" i="5"/>
  <c r="AP80" i="5"/>
  <c r="AQ80" i="5" s="1"/>
  <c r="AR80" i="5" s="1"/>
  <c r="AI80" i="5"/>
  <c r="T80" i="5"/>
  <c r="Z80" i="5" s="1"/>
  <c r="AA80" i="5" s="1"/>
  <c r="A80" i="5"/>
  <c r="BC79" i="5"/>
  <c r="AP79" i="5"/>
  <c r="AQ79" i="5" s="1"/>
  <c r="AR79" i="5" s="1"/>
  <c r="AI79" i="5"/>
  <c r="T79" i="5"/>
  <c r="Z79" i="5" s="1"/>
  <c r="AA79" i="5" s="1"/>
  <c r="A79" i="5"/>
  <c r="BC78" i="5"/>
  <c r="AP78" i="5"/>
  <c r="AQ78" i="5" s="1"/>
  <c r="AR78" i="5" s="1"/>
  <c r="AI78" i="5"/>
  <c r="T78" i="5"/>
  <c r="Z78" i="5" s="1"/>
  <c r="AA78" i="5" s="1"/>
  <c r="A78" i="5"/>
  <c r="BC77" i="5"/>
  <c r="AP77" i="5"/>
  <c r="AQ77" i="5" s="1"/>
  <c r="AR77" i="5" s="1"/>
  <c r="AI77" i="5"/>
  <c r="T77" i="5"/>
  <c r="Z77" i="5" s="1"/>
  <c r="AA77" i="5" s="1"/>
  <c r="A77" i="5"/>
  <c r="BC76" i="5"/>
  <c r="BB76" i="5"/>
  <c r="BE76" i="5" s="1"/>
  <c r="BF76" i="5" s="1"/>
  <c r="AP76" i="5"/>
  <c r="AQ76" i="5" s="1"/>
  <c r="AR76" i="5" s="1"/>
  <c r="AI76" i="5"/>
  <c r="T76" i="5"/>
  <c r="Z76" i="5" s="1"/>
  <c r="AA76" i="5" s="1"/>
  <c r="A76" i="5"/>
  <c r="BC74" i="5"/>
  <c r="AP74" i="5"/>
  <c r="AQ74" i="5" s="1"/>
  <c r="AR74" i="5" s="1"/>
  <c r="AI74" i="5"/>
  <c r="T74" i="5"/>
  <c r="Z74" i="5" s="1"/>
  <c r="AA74" i="5" s="1"/>
  <c r="A74" i="5"/>
  <c r="BC65" i="5"/>
  <c r="AP65" i="5"/>
  <c r="AQ65" i="5" s="1"/>
  <c r="AR65" i="5" s="1"/>
  <c r="AI65" i="5"/>
  <c r="T65" i="5"/>
  <c r="Z65" i="5" s="1"/>
  <c r="AA65" i="5" s="1"/>
  <c r="A65" i="5"/>
  <c r="BC60" i="5"/>
  <c r="AP60" i="5"/>
  <c r="AQ60" i="5" s="1"/>
  <c r="AR60" i="5" s="1"/>
  <c r="AI60" i="5"/>
  <c r="T60" i="5"/>
  <c r="Z60" i="5" s="1"/>
  <c r="AA60" i="5" s="1"/>
  <c r="A60" i="5"/>
  <c r="BC59" i="5"/>
  <c r="AP59" i="5"/>
  <c r="AQ59" i="5" s="1"/>
  <c r="AR59" i="5" s="1"/>
  <c r="AI59" i="5"/>
  <c r="T59" i="5"/>
  <c r="Z59" i="5" s="1"/>
  <c r="AA59" i="5" s="1"/>
  <c r="A59" i="5"/>
  <c r="BC58" i="5"/>
  <c r="AP58" i="5"/>
  <c r="AQ58" i="5" s="1"/>
  <c r="AR58" i="5" s="1"/>
  <c r="AI58" i="5"/>
  <c r="T58" i="5"/>
  <c r="Z58" i="5" s="1"/>
  <c r="AA58" i="5" s="1"/>
  <c r="A58" i="5"/>
  <c r="BC57" i="5"/>
  <c r="AP57" i="5"/>
  <c r="AQ57" i="5" s="1"/>
  <c r="AR57" i="5" s="1"/>
  <c r="AI57" i="5"/>
  <c r="T57" i="5"/>
  <c r="Z57" i="5" s="1"/>
  <c r="AA57" i="5" s="1"/>
  <c r="A57" i="5"/>
  <c r="BC56" i="5"/>
  <c r="AP56" i="5"/>
  <c r="AQ56" i="5" s="1"/>
  <c r="AR56" i="5" s="1"/>
  <c r="AI56" i="5"/>
  <c r="T56" i="5"/>
  <c r="Z56" i="5" s="1"/>
  <c r="AA56" i="5" s="1"/>
  <c r="A56" i="5"/>
  <c r="BC55" i="5"/>
  <c r="AP55" i="5"/>
  <c r="AQ55" i="5" s="1"/>
  <c r="AR55" i="5" s="1"/>
  <c r="AI55" i="5"/>
  <c r="T55" i="5"/>
  <c r="Z55" i="5" s="1"/>
  <c r="AA55" i="5" s="1"/>
  <c r="A55" i="5"/>
  <c r="BC64" i="5"/>
  <c r="AP64" i="5"/>
  <c r="AQ64" i="5" s="1"/>
  <c r="AR64" i="5" s="1"/>
  <c r="AI64" i="5"/>
  <c r="T64" i="5"/>
  <c r="Z64" i="5" s="1"/>
  <c r="AA64" i="5" s="1"/>
  <c r="A64" i="5"/>
  <c r="BC63" i="5"/>
  <c r="AP63" i="5"/>
  <c r="AQ63" i="5" s="1"/>
  <c r="AR63" i="5" s="1"/>
  <c r="AI63" i="5"/>
  <c r="T63" i="5"/>
  <c r="Z63" i="5" s="1"/>
  <c r="AA63" i="5" s="1"/>
  <c r="A63" i="5"/>
  <c r="BC62" i="5"/>
  <c r="AP62" i="5"/>
  <c r="AQ62" i="5" s="1"/>
  <c r="AR62" i="5" s="1"/>
  <c r="AI62" i="5"/>
  <c r="T62" i="5"/>
  <c r="Z62" i="5" s="1"/>
  <c r="AA62" i="5" s="1"/>
  <c r="A62" i="5"/>
  <c r="BC61" i="5"/>
  <c r="AP61" i="5"/>
  <c r="AQ61" i="5" s="1"/>
  <c r="AR61" i="5" s="1"/>
  <c r="AI61" i="5"/>
  <c r="T61" i="5"/>
  <c r="Z61" i="5" s="1"/>
  <c r="AA61" i="5" s="1"/>
  <c r="A61" i="5"/>
  <c r="BC54" i="5"/>
  <c r="AP54" i="5"/>
  <c r="AQ54" i="5" s="1"/>
  <c r="AR54" i="5" s="1"/>
  <c r="AI54" i="5"/>
  <c r="T54" i="5"/>
  <c r="Z54" i="5" s="1"/>
  <c r="AA54" i="5" s="1"/>
  <c r="A54" i="5"/>
  <c r="BC53" i="5"/>
  <c r="AP53" i="5"/>
  <c r="AQ53" i="5" s="1"/>
  <c r="AR53" i="5" s="1"/>
  <c r="AI53" i="5"/>
  <c r="T53" i="5"/>
  <c r="Z53" i="5" s="1"/>
  <c r="AA53" i="5" s="1"/>
  <c r="A53" i="5"/>
  <c r="BC52" i="5"/>
  <c r="AP52" i="5"/>
  <c r="AQ52" i="5" s="1"/>
  <c r="AR52" i="5" s="1"/>
  <c r="AI52" i="5"/>
  <c r="T52" i="5"/>
  <c r="Z52" i="5" s="1"/>
  <c r="AA52" i="5" s="1"/>
  <c r="A52" i="5"/>
  <c r="BC51" i="5"/>
  <c r="AP51" i="5"/>
  <c r="AQ51" i="5" s="1"/>
  <c r="AR51" i="5" s="1"/>
  <c r="AI51" i="5"/>
  <c r="T51" i="5"/>
  <c r="Z51" i="5" s="1"/>
  <c r="AA51" i="5" s="1"/>
  <c r="A51" i="5"/>
  <c r="BC50" i="5"/>
  <c r="AP50" i="5"/>
  <c r="AQ50" i="5" s="1"/>
  <c r="AR50" i="5" s="1"/>
  <c r="AI50" i="5"/>
  <c r="T50" i="5"/>
  <c r="Z50" i="5" s="1"/>
  <c r="AA50" i="5" s="1"/>
  <c r="A50" i="5"/>
  <c r="BC49" i="5"/>
  <c r="AP49" i="5"/>
  <c r="AQ49" i="5" s="1"/>
  <c r="AR49" i="5" s="1"/>
  <c r="AI49" i="5"/>
  <c r="T49" i="5"/>
  <c r="Z49" i="5" s="1"/>
  <c r="AA49" i="5" s="1"/>
  <c r="A49" i="5"/>
  <c r="BC48" i="5"/>
  <c r="AP48" i="5"/>
  <c r="AQ48" i="5" s="1"/>
  <c r="AR48" i="5" s="1"/>
  <c r="AI48" i="5"/>
  <c r="T48" i="5"/>
  <c r="Z48" i="5" s="1"/>
  <c r="AA48" i="5" s="1"/>
  <c r="A48" i="5"/>
  <c r="BC47" i="5"/>
  <c r="AP47" i="5"/>
  <c r="AQ47" i="5" s="1"/>
  <c r="AR47" i="5" s="1"/>
  <c r="AI47" i="5"/>
  <c r="T47" i="5"/>
  <c r="Z47" i="5" s="1"/>
  <c r="AA47" i="5" s="1"/>
  <c r="A47" i="5"/>
  <c r="BC46" i="5"/>
  <c r="AP46" i="5"/>
  <c r="AQ46" i="5" s="1"/>
  <c r="AR46" i="5" s="1"/>
  <c r="AI46" i="5"/>
  <c r="T46" i="5"/>
  <c r="Z46" i="5" s="1"/>
  <c r="AA46" i="5" s="1"/>
  <c r="A46" i="5"/>
  <c r="BC45" i="5"/>
  <c r="AP45" i="5"/>
  <c r="AQ45" i="5" s="1"/>
  <c r="AR45" i="5" s="1"/>
  <c r="AI45" i="5"/>
  <c r="T45" i="5"/>
  <c r="Z45" i="5" s="1"/>
  <c r="AA45" i="5" s="1"/>
  <c r="A45" i="5"/>
  <c r="BC44" i="5"/>
  <c r="AP44" i="5"/>
  <c r="AQ44" i="5" s="1"/>
  <c r="AR44" i="5" s="1"/>
  <c r="AI44" i="5"/>
  <c r="T44" i="5"/>
  <c r="Z44" i="5" s="1"/>
  <c r="AA44" i="5" s="1"/>
  <c r="A44" i="5"/>
  <c r="BC43" i="5"/>
  <c r="AP43" i="5"/>
  <c r="AQ43" i="5" s="1"/>
  <c r="AR43" i="5" s="1"/>
  <c r="AI43" i="5"/>
  <c r="T43" i="5"/>
  <c r="Z43" i="5" s="1"/>
  <c r="AA43" i="5" s="1"/>
  <c r="A43" i="5"/>
  <c r="BC42" i="5"/>
  <c r="AP42" i="5"/>
  <c r="AQ42" i="5" s="1"/>
  <c r="AR42" i="5" s="1"/>
  <c r="AI42" i="5"/>
  <c r="T42" i="5"/>
  <c r="Z42" i="5" s="1"/>
  <c r="AA42" i="5" s="1"/>
  <c r="A42" i="5"/>
  <c r="BC41" i="5"/>
  <c r="AP41" i="5"/>
  <c r="AQ41" i="5" s="1"/>
  <c r="AR41" i="5" s="1"/>
  <c r="AI41" i="5"/>
  <c r="T41" i="5"/>
  <c r="Z41" i="5" s="1"/>
  <c r="AA41" i="5" s="1"/>
  <c r="A41" i="5"/>
  <c r="BC40" i="5"/>
  <c r="AP40" i="5"/>
  <c r="AQ40" i="5" s="1"/>
  <c r="AR40" i="5" s="1"/>
  <c r="AI40" i="5"/>
  <c r="T40" i="5"/>
  <c r="Z40" i="5" s="1"/>
  <c r="AA40" i="5" s="1"/>
  <c r="A40" i="5"/>
  <c r="BC39" i="5"/>
  <c r="AP39" i="5"/>
  <c r="AQ39" i="5" s="1"/>
  <c r="AR39" i="5" s="1"/>
  <c r="AI39" i="5"/>
  <c r="T39" i="5"/>
  <c r="Z39" i="5" s="1"/>
  <c r="AA39" i="5" s="1"/>
  <c r="A39" i="5"/>
  <c r="BC38" i="5"/>
  <c r="AP38" i="5"/>
  <c r="AQ38" i="5" s="1"/>
  <c r="AR38" i="5" s="1"/>
  <c r="AI38" i="5"/>
  <c r="T38" i="5"/>
  <c r="Z38" i="5" s="1"/>
  <c r="AA38" i="5" s="1"/>
  <c r="A38" i="5"/>
  <c r="BC37" i="5"/>
  <c r="AP37" i="5"/>
  <c r="AQ37" i="5" s="1"/>
  <c r="AR37" i="5" s="1"/>
  <c r="AI37" i="5"/>
  <c r="T37" i="5"/>
  <c r="Z37" i="5" s="1"/>
  <c r="AA37" i="5" s="1"/>
  <c r="A37" i="5"/>
  <c r="BB83" i="5" l="1"/>
  <c r="BE83" i="5" s="1"/>
  <c r="BF83" i="5" s="1"/>
  <c r="BB85" i="5"/>
  <c r="BE85" i="5" s="1"/>
  <c r="BF85" i="5" s="1"/>
  <c r="BB87" i="5"/>
  <c r="BE87" i="5" s="1"/>
  <c r="BF87" i="5" s="1"/>
  <c r="BB67" i="5"/>
  <c r="BE67" i="5" s="1"/>
  <c r="BF67" i="5" s="1"/>
  <c r="BB69" i="5"/>
  <c r="BE69" i="5" s="1"/>
  <c r="BF69" i="5" s="1"/>
  <c r="BB71" i="5"/>
  <c r="BE71" i="5" s="1"/>
  <c r="BF71" i="5" s="1"/>
  <c r="BB73" i="5"/>
  <c r="BE73" i="5" s="1"/>
  <c r="BF73" i="5" s="1"/>
  <c r="BB82" i="5"/>
  <c r="BE82" i="5" s="1"/>
  <c r="BF82" i="5" s="1"/>
  <c r="BB84" i="5"/>
  <c r="BE84" i="5" s="1"/>
  <c r="BF84" i="5" s="1"/>
  <c r="BB86" i="5"/>
  <c r="BE86" i="5" s="1"/>
  <c r="BF86" i="5" s="1"/>
  <c r="BB66" i="5"/>
  <c r="BE66" i="5" s="1"/>
  <c r="BF66" i="5" s="1"/>
  <c r="BB68" i="5"/>
  <c r="BE68" i="5" s="1"/>
  <c r="BF68" i="5" s="1"/>
  <c r="BB70" i="5"/>
  <c r="BE70" i="5" s="1"/>
  <c r="BF70" i="5" s="1"/>
  <c r="BB72" i="5"/>
  <c r="BE72" i="5" s="1"/>
  <c r="BF72" i="5" s="1"/>
  <c r="BB75" i="5"/>
  <c r="BE75" i="5" s="1"/>
  <c r="BF75" i="5" s="1"/>
  <c r="BB78" i="5"/>
  <c r="BE78" i="5" s="1"/>
  <c r="BF78" i="5" s="1"/>
  <c r="BB80" i="5"/>
  <c r="BE80" i="5" s="1"/>
  <c r="BF80" i="5" s="1"/>
  <c r="BB74" i="5"/>
  <c r="BE74" i="5" s="1"/>
  <c r="BF74" i="5" s="1"/>
  <c r="BB79" i="5"/>
  <c r="BE79" i="5" s="1"/>
  <c r="BF79" i="5" s="1"/>
  <c r="BB65" i="5"/>
  <c r="BE65" i="5" s="1"/>
  <c r="BF65" i="5" s="1"/>
  <c r="BB77" i="5"/>
  <c r="BE77" i="5" s="1"/>
  <c r="BF77" i="5" s="1"/>
  <c r="BB81" i="5"/>
  <c r="BE81" i="5" s="1"/>
  <c r="BF81" i="5" s="1"/>
  <c r="BB55" i="5"/>
  <c r="BE55" i="5" s="1"/>
  <c r="BF55" i="5" s="1"/>
  <c r="BB57" i="5"/>
  <c r="BE57" i="5" s="1"/>
  <c r="BF57" i="5" s="1"/>
  <c r="BB59" i="5"/>
  <c r="BE59" i="5" s="1"/>
  <c r="BF59" i="5" s="1"/>
  <c r="BB64" i="5"/>
  <c r="BE64" i="5" s="1"/>
  <c r="BF64" i="5" s="1"/>
  <c r="BB56" i="5"/>
  <c r="BE56" i="5" s="1"/>
  <c r="BF56" i="5" s="1"/>
  <c r="BB58" i="5"/>
  <c r="BE58" i="5" s="1"/>
  <c r="BF58" i="5" s="1"/>
  <c r="BB60" i="5"/>
  <c r="BE60" i="5" s="1"/>
  <c r="BF60" i="5" s="1"/>
  <c r="BB54" i="5"/>
  <c r="BE54" i="5" s="1"/>
  <c r="BF54" i="5" s="1"/>
  <c r="BB37" i="5"/>
  <c r="BE37" i="5" s="1"/>
  <c r="BF37" i="5" s="1"/>
  <c r="BB62" i="5"/>
  <c r="BE62" i="5" s="1"/>
  <c r="BF62" i="5" s="1"/>
  <c r="BB45" i="5"/>
  <c r="BE45" i="5" s="1"/>
  <c r="BF45" i="5" s="1"/>
  <c r="BB43" i="5"/>
  <c r="BE43" i="5" s="1"/>
  <c r="BF43" i="5" s="1"/>
  <c r="BB53" i="5"/>
  <c r="BE53" i="5" s="1"/>
  <c r="BF53" i="5" s="1"/>
  <c r="BB61" i="5"/>
  <c r="BE61" i="5" s="1"/>
  <c r="BF61" i="5" s="1"/>
  <c r="BB63" i="5"/>
  <c r="BE63" i="5" s="1"/>
  <c r="BF63" i="5" s="1"/>
  <c r="BB51" i="5"/>
  <c r="BE51" i="5" s="1"/>
  <c r="BF51" i="5" s="1"/>
  <c r="BB41" i="5"/>
  <c r="BE41" i="5" s="1"/>
  <c r="BF41" i="5" s="1"/>
  <c r="BB49" i="5"/>
  <c r="BE49" i="5" s="1"/>
  <c r="BF49" i="5" s="1"/>
  <c r="BB39" i="5"/>
  <c r="BE39" i="5" s="1"/>
  <c r="BF39" i="5" s="1"/>
  <c r="BB47" i="5"/>
  <c r="BE47" i="5" s="1"/>
  <c r="BF47" i="5" s="1"/>
  <c r="BB38" i="5"/>
  <c r="BE38" i="5" s="1"/>
  <c r="BF38" i="5" s="1"/>
  <c r="BB40" i="5"/>
  <c r="BE40" i="5" s="1"/>
  <c r="BF40" i="5" s="1"/>
  <c r="BB42" i="5"/>
  <c r="BE42" i="5" s="1"/>
  <c r="BF42" i="5" s="1"/>
  <c r="BB44" i="5"/>
  <c r="BE44" i="5" s="1"/>
  <c r="BF44" i="5" s="1"/>
  <c r="BB46" i="5"/>
  <c r="BE46" i="5" s="1"/>
  <c r="BF46" i="5" s="1"/>
  <c r="BB48" i="5"/>
  <c r="BE48" i="5" s="1"/>
  <c r="BF48" i="5" s="1"/>
  <c r="BB50" i="5"/>
  <c r="BE50" i="5" s="1"/>
  <c r="BF50" i="5" s="1"/>
  <c r="BB52" i="5"/>
  <c r="BE52" i="5" s="1"/>
  <c r="BF52" i="5" s="1"/>
  <c r="BC17" i="5"/>
  <c r="BB17" i="5"/>
  <c r="AP17" i="5"/>
  <c r="AQ17" i="5" s="1"/>
  <c r="AR17" i="5" s="1"/>
  <c r="AI17" i="5"/>
  <c r="T17" i="5"/>
  <c r="A17" i="5"/>
  <c r="BC16" i="5"/>
  <c r="AP16" i="5"/>
  <c r="AQ16" i="5" s="1"/>
  <c r="AR16" i="5" s="1"/>
  <c r="AI16" i="5"/>
  <c r="T16" i="5"/>
  <c r="A16" i="5"/>
  <c r="BC35" i="5"/>
  <c r="AP35" i="5"/>
  <c r="AQ35" i="5" s="1"/>
  <c r="AR35" i="5" s="1"/>
  <c r="AI35" i="5"/>
  <c r="T35" i="5"/>
  <c r="A35" i="5"/>
  <c r="BC34" i="5"/>
  <c r="AP34" i="5"/>
  <c r="AQ34" i="5" s="1"/>
  <c r="AR34" i="5" s="1"/>
  <c r="AI34" i="5"/>
  <c r="T34" i="5"/>
  <c r="A34" i="5"/>
  <c r="BC33" i="5"/>
  <c r="AP33" i="5"/>
  <c r="AQ33" i="5" s="1"/>
  <c r="AR33" i="5" s="1"/>
  <c r="AI33" i="5"/>
  <c r="T33" i="5"/>
  <c r="A33" i="5"/>
  <c r="BC32" i="5"/>
  <c r="AP32" i="5"/>
  <c r="AQ32" i="5" s="1"/>
  <c r="AR32" i="5" s="1"/>
  <c r="AI32" i="5"/>
  <c r="T32" i="5"/>
  <c r="A32" i="5"/>
  <c r="BC31" i="5"/>
  <c r="AP31" i="5"/>
  <c r="AQ31" i="5" s="1"/>
  <c r="AR31" i="5" s="1"/>
  <c r="AI31" i="5"/>
  <c r="T31" i="5"/>
  <c r="BB31" i="5" s="1"/>
  <c r="A31" i="5"/>
  <c r="BC30" i="5"/>
  <c r="AP30" i="5"/>
  <c r="AQ30" i="5" s="1"/>
  <c r="AR30" i="5" s="1"/>
  <c r="AI30" i="5"/>
  <c r="T30" i="5"/>
  <c r="A30" i="5"/>
  <c r="BC29" i="5"/>
  <c r="BB29" i="5"/>
  <c r="AP29" i="5"/>
  <c r="AQ29" i="5" s="1"/>
  <c r="AR29" i="5" s="1"/>
  <c r="AI29" i="5"/>
  <c r="T29" i="5"/>
  <c r="A29" i="5"/>
  <c r="BC28" i="5"/>
  <c r="AP28" i="5"/>
  <c r="AQ28" i="5" s="1"/>
  <c r="AR28" i="5" s="1"/>
  <c r="AI28" i="5"/>
  <c r="T28" i="5"/>
  <c r="A28" i="5"/>
  <c r="BC27" i="5"/>
  <c r="AP27" i="5"/>
  <c r="AQ27" i="5" s="1"/>
  <c r="AR27" i="5" s="1"/>
  <c r="AI27" i="5"/>
  <c r="T27" i="5"/>
  <c r="A27" i="5"/>
  <c r="BC36" i="5"/>
  <c r="AP36" i="5"/>
  <c r="AQ36" i="5" s="1"/>
  <c r="AR36" i="5" s="1"/>
  <c r="AI36" i="5"/>
  <c r="T36" i="5"/>
  <c r="A36" i="5"/>
  <c r="BC26" i="5"/>
  <c r="AP26" i="5"/>
  <c r="AQ26" i="5" s="1"/>
  <c r="AR26" i="5" s="1"/>
  <c r="AI26" i="5"/>
  <c r="T26" i="5"/>
  <c r="A26" i="5"/>
  <c r="BC25" i="5"/>
  <c r="AP25" i="5"/>
  <c r="AQ25" i="5" s="1"/>
  <c r="AR25" i="5" s="1"/>
  <c r="AI25" i="5"/>
  <c r="T25" i="5"/>
  <c r="A25" i="5"/>
  <c r="BC24" i="5"/>
  <c r="AP24" i="5"/>
  <c r="AQ24" i="5" s="1"/>
  <c r="AR24" i="5" s="1"/>
  <c r="AI24" i="5"/>
  <c r="T24" i="5"/>
  <c r="A24" i="5"/>
  <c r="BC23" i="5"/>
  <c r="AP23" i="5"/>
  <c r="AQ23" i="5" s="1"/>
  <c r="AR23" i="5" s="1"/>
  <c r="AI23" i="5"/>
  <c r="T23" i="5"/>
  <c r="A23" i="5"/>
  <c r="BC22" i="5"/>
  <c r="AP22" i="5"/>
  <c r="AQ22" i="5" s="1"/>
  <c r="AR22" i="5" s="1"/>
  <c r="AI22" i="5"/>
  <c r="T22" i="5"/>
  <c r="A22" i="5"/>
  <c r="BC21" i="5"/>
  <c r="AP21" i="5"/>
  <c r="AQ21" i="5" s="1"/>
  <c r="AR21" i="5" s="1"/>
  <c r="AI21" i="5"/>
  <c r="T21" i="5"/>
  <c r="A21" i="5"/>
  <c r="BC20" i="5"/>
  <c r="AP20" i="5"/>
  <c r="AQ20" i="5" s="1"/>
  <c r="AR20" i="5" s="1"/>
  <c r="AI20" i="5"/>
  <c r="T20" i="5"/>
  <c r="A20" i="5"/>
  <c r="BC19" i="5"/>
  <c r="AP19" i="5"/>
  <c r="AQ19" i="5" s="1"/>
  <c r="AR19" i="5" s="1"/>
  <c r="AI19" i="5"/>
  <c r="T19" i="5"/>
  <c r="A19" i="5"/>
  <c r="BC18" i="5"/>
  <c r="AP18" i="5"/>
  <c r="AQ18" i="5" s="1"/>
  <c r="AR18" i="5" s="1"/>
  <c r="AI18" i="5"/>
  <c r="T18" i="5"/>
  <c r="A18" i="5"/>
  <c r="BC15" i="5"/>
  <c r="AP15" i="5"/>
  <c r="AQ15" i="5" s="1"/>
  <c r="AR15" i="5" s="1"/>
  <c r="AI15" i="5"/>
  <c r="T15" i="5"/>
  <c r="A15" i="5"/>
  <c r="BE17" i="5" l="1"/>
  <c r="BF17" i="5" s="1"/>
  <c r="BE29" i="5"/>
  <c r="BF29" i="5" s="1"/>
  <c r="BE31" i="5"/>
  <c r="BF31" i="5" s="1"/>
  <c r="Z19" i="5"/>
  <c r="AA19" i="5" s="1"/>
  <c r="Z15" i="5"/>
  <c r="AA15" i="5" s="1"/>
  <c r="Z21" i="5"/>
  <c r="AA21" i="5" s="1"/>
  <c r="Z25" i="5"/>
  <c r="AA25" i="5" s="1"/>
  <c r="Z28" i="5"/>
  <c r="AA28" i="5" s="1"/>
  <c r="Z31" i="5"/>
  <c r="AA31" i="5" s="1"/>
  <c r="Z34" i="5"/>
  <c r="AA34" i="5" s="1"/>
  <c r="Z18" i="5"/>
  <c r="AA18" i="5" s="1"/>
  <c r="Z22" i="5"/>
  <c r="AA22" i="5" s="1"/>
  <c r="Z26" i="5"/>
  <c r="AA26" i="5" s="1"/>
  <c r="Z29" i="5"/>
  <c r="AA29" i="5" s="1"/>
  <c r="Z35" i="5"/>
  <c r="AA35" i="5" s="1"/>
  <c r="Z36" i="5"/>
  <c r="AA36" i="5" s="1"/>
  <c r="Z32" i="5"/>
  <c r="AA32" i="5" s="1"/>
  <c r="Z16" i="5"/>
  <c r="AA16" i="5" s="1"/>
  <c r="Z23" i="5"/>
  <c r="AA23" i="5" s="1"/>
  <c r="Z20" i="5"/>
  <c r="AA20" i="5" s="1"/>
  <c r="Z24" i="5"/>
  <c r="AA24" i="5" s="1"/>
  <c r="Z27" i="5"/>
  <c r="AA27" i="5" s="1"/>
  <c r="Z30" i="5"/>
  <c r="AA30" i="5" s="1"/>
  <c r="Z33" i="5"/>
  <c r="AA33" i="5" s="1"/>
  <c r="Z17" i="5"/>
  <c r="AA17" i="5" s="1"/>
  <c r="BB27" i="5"/>
  <c r="BE27" i="5" s="1"/>
  <c r="BF27" i="5" s="1"/>
  <c r="BB33" i="5"/>
  <c r="BE33" i="5" s="1"/>
  <c r="BF33" i="5" s="1"/>
  <c r="BB35" i="5"/>
  <c r="BE35" i="5" s="1"/>
  <c r="BF35" i="5" s="1"/>
  <c r="BB23" i="5"/>
  <c r="BE23" i="5" s="1"/>
  <c r="BF23" i="5" s="1"/>
  <c r="BB28" i="5"/>
  <c r="BE28" i="5" s="1"/>
  <c r="BF28" i="5" s="1"/>
  <c r="BB30" i="5"/>
  <c r="BE30" i="5" s="1"/>
  <c r="BF30" i="5" s="1"/>
  <c r="BB32" i="5"/>
  <c r="BE32" i="5" s="1"/>
  <c r="BF32" i="5" s="1"/>
  <c r="BB34" i="5"/>
  <c r="BE34" i="5" s="1"/>
  <c r="BF34" i="5" s="1"/>
  <c r="BB16" i="5"/>
  <c r="BE16" i="5" s="1"/>
  <c r="BF16" i="5" s="1"/>
  <c r="BB21" i="5"/>
  <c r="BE21" i="5" s="1"/>
  <c r="BF21" i="5" s="1"/>
  <c r="BB19" i="5"/>
  <c r="BE19" i="5" s="1"/>
  <c r="BF19" i="5" s="1"/>
  <c r="BB15" i="5"/>
  <c r="BE15" i="5" s="1"/>
  <c r="BF15" i="5" s="1"/>
  <c r="BB25" i="5"/>
  <c r="BE25" i="5" s="1"/>
  <c r="BF25" i="5" s="1"/>
  <c r="BB18" i="5"/>
  <c r="BE18" i="5" s="1"/>
  <c r="BF18" i="5" s="1"/>
  <c r="BB20" i="5"/>
  <c r="BE20" i="5" s="1"/>
  <c r="BF20" i="5" s="1"/>
  <c r="BB22" i="5"/>
  <c r="BE22" i="5" s="1"/>
  <c r="BF22" i="5" s="1"/>
  <c r="BB24" i="5"/>
  <c r="BE24" i="5" s="1"/>
  <c r="BF24" i="5" s="1"/>
  <c r="BB26" i="5"/>
  <c r="BE26" i="5" s="1"/>
  <c r="BF26" i="5" s="1"/>
  <c r="BB36" i="5"/>
  <c r="BE36" i="5" s="1"/>
  <c r="BF36" i="5" s="1"/>
  <c r="A6" i="4" l="1"/>
  <c r="T6" i="4"/>
  <c r="Z6" i="4" s="1"/>
  <c r="AA6" i="4" s="1"/>
  <c r="AI6" i="4"/>
  <c r="AP6" i="4"/>
  <c r="AQ6" i="4" s="1"/>
  <c r="AR6" i="4" s="1"/>
  <c r="BB6" i="4"/>
  <c r="BC6" i="4"/>
  <c r="A7" i="4"/>
  <c r="T7" i="4"/>
  <c r="Z7" i="4" s="1"/>
  <c r="AA7" i="4" s="1"/>
  <c r="AI7" i="4"/>
  <c r="AP7" i="4"/>
  <c r="AQ7" i="4" s="1"/>
  <c r="AR7" i="4" s="1"/>
  <c r="BB7" i="4"/>
  <c r="BC7" i="4"/>
  <c r="A8" i="4"/>
  <c r="T8" i="4"/>
  <c r="Z8" i="4" s="1"/>
  <c r="AA8" i="4" s="1"/>
  <c r="AI8" i="4"/>
  <c r="AP8" i="4"/>
  <c r="AQ8" i="4" s="1"/>
  <c r="AR8" i="4" s="1"/>
  <c r="BB8" i="4"/>
  <c r="BC8" i="4"/>
  <c r="A9" i="4"/>
  <c r="T9" i="4"/>
  <c r="Z9" i="4" s="1"/>
  <c r="AA9" i="4" s="1"/>
  <c r="AI9" i="4"/>
  <c r="AP9" i="4"/>
  <c r="AQ9" i="4" s="1"/>
  <c r="AR9" i="4" s="1"/>
  <c r="BB9" i="4"/>
  <c r="BC9" i="4"/>
  <c r="A10" i="4"/>
  <c r="T10" i="4"/>
  <c r="Z10" i="4" s="1"/>
  <c r="AA10" i="4" s="1"/>
  <c r="AI10" i="4"/>
  <c r="AP10" i="4"/>
  <c r="AQ10" i="4" s="1"/>
  <c r="AR10" i="4" s="1"/>
  <c r="BB10" i="4"/>
  <c r="BC10" i="4"/>
  <c r="A11" i="4"/>
  <c r="T11" i="4"/>
  <c r="Z11" i="4" s="1"/>
  <c r="AA11" i="4" s="1"/>
  <c r="AI11" i="4"/>
  <c r="AP11" i="4"/>
  <c r="AQ11" i="4" s="1"/>
  <c r="AR11" i="4" s="1"/>
  <c r="BB11" i="4"/>
  <c r="BC11" i="4"/>
  <c r="A12" i="4"/>
  <c r="T12" i="4"/>
  <c r="Z12" i="4" s="1"/>
  <c r="AA12" i="4" s="1"/>
  <c r="AI12" i="4"/>
  <c r="AP12" i="4"/>
  <c r="AQ12" i="4" s="1"/>
  <c r="AR12" i="4" s="1"/>
  <c r="BB12" i="4"/>
  <c r="BC12" i="4"/>
  <c r="A13" i="4"/>
  <c r="T13" i="4"/>
  <c r="Z13" i="4" s="1"/>
  <c r="AA13" i="4" s="1"/>
  <c r="AI13" i="4"/>
  <c r="AP13" i="4"/>
  <c r="AQ13" i="4" s="1"/>
  <c r="AR13" i="4" s="1"/>
  <c r="BB13" i="4"/>
  <c r="BC13" i="4"/>
  <c r="A14" i="4"/>
  <c r="T14" i="4"/>
  <c r="Z14" i="4" s="1"/>
  <c r="AA14" i="4" s="1"/>
  <c r="AI14" i="4"/>
  <c r="AP14" i="4"/>
  <c r="AQ14" i="4" s="1"/>
  <c r="AR14" i="4" s="1"/>
  <c r="BB14" i="4"/>
  <c r="BC14" i="4"/>
  <c r="A15" i="4"/>
  <c r="T15" i="4"/>
  <c r="Z15" i="4" s="1"/>
  <c r="AA15" i="4" s="1"/>
  <c r="AI15" i="4"/>
  <c r="AP15" i="4"/>
  <c r="AQ15" i="4" s="1"/>
  <c r="AR15" i="4" s="1"/>
  <c r="BB15" i="4"/>
  <c r="BC15" i="4"/>
  <c r="A16" i="4"/>
  <c r="T16" i="4"/>
  <c r="Z16" i="4" s="1"/>
  <c r="AA16" i="4" s="1"/>
  <c r="AI16" i="4"/>
  <c r="AP16" i="4"/>
  <c r="AQ16" i="4" s="1"/>
  <c r="AR16" i="4" s="1"/>
  <c r="BB16" i="4"/>
  <c r="BC16" i="4"/>
  <c r="A17" i="4"/>
  <c r="T17" i="4"/>
  <c r="Z17" i="4" s="1"/>
  <c r="AA17" i="4" s="1"/>
  <c r="AI17" i="4"/>
  <c r="AP17" i="4"/>
  <c r="AQ17" i="4" s="1"/>
  <c r="AR17" i="4" s="1"/>
  <c r="BB17" i="4"/>
  <c r="BC17" i="4"/>
  <c r="A18" i="4"/>
  <c r="T18" i="4"/>
  <c r="Z18" i="4" s="1"/>
  <c r="AA18" i="4" s="1"/>
  <c r="AI18" i="4"/>
  <c r="AP18" i="4"/>
  <c r="AQ18" i="4" s="1"/>
  <c r="AR18" i="4" s="1"/>
  <c r="BB18" i="4"/>
  <c r="BC18" i="4"/>
  <c r="A19" i="4"/>
  <c r="T19" i="4"/>
  <c r="Z19" i="4" s="1"/>
  <c r="AA19" i="4" s="1"/>
  <c r="AI19" i="4"/>
  <c r="AP19" i="4"/>
  <c r="AQ19" i="4" s="1"/>
  <c r="AR19" i="4" s="1"/>
  <c r="BB19" i="4"/>
  <c r="BC19" i="4"/>
  <c r="A20" i="4"/>
  <c r="T20" i="4"/>
  <c r="Z20" i="4" s="1"/>
  <c r="AA20" i="4" s="1"/>
  <c r="AI20" i="4"/>
  <c r="AP20" i="4"/>
  <c r="AQ20" i="4" s="1"/>
  <c r="AR20" i="4" s="1"/>
  <c r="BB20" i="4"/>
  <c r="BC20" i="4"/>
  <c r="A21" i="4"/>
  <c r="T21" i="4"/>
  <c r="Z21" i="4" s="1"/>
  <c r="AA21" i="4" s="1"/>
  <c r="AI21" i="4"/>
  <c r="AP21" i="4"/>
  <c r="AQ21" i="4" s="1"/>
  <c r="AR21" i="4" s="1"/>
  <c r="BB21" i="4"/>
  <c r="BC21" i="4"/>
  <c r="A22" i="4"/>
  <c r="T22" i="4"/>
  <c r="Z22" i="4" s="1"/>
  <c r="AA22" i="4" s="1"/>
  <c r="AI22" i="4"/>
  <c r="AP22" i="4"/>
  <c r="AQ22" i="4" s="1"/>
  <c r="AR22" i="4" s="1"/>
  <c r="BB22" i="4"/>
  <c r="BC22" i="4"/>
  <c r="A23" i="4"/>
  <c r="T23" i="4"/>
  <c r="Z23" i="4" s="1"/>
  <c r="AA23" i="4" s="1"/>
  <c r="AI23" i="4"/>
  <c r="AP23" i="4"/>
  <c r="AQ23" i="4" s="1"/>
  <c r="AR23" i="4" s="1"/>
  <c r="BB23" i="4"/>
  <c r="BC23" i="4"/>
  <c r="A24" i="4"/>
  <c r="T24" i="4"/>
  <c r="Z24" i="4" s="1"/>
  <c r="AA24" i="4" s="1"/>
  <c r="AI24" i="4"/>
  <c r="AP24" i="4"/>
  <c r="AQ24" i="4" s="1"/>
  <c r="AR24" i="4" s="1"/>
  <c r="BB24" i="4"/>
  <c r="BC24" i="4"/>
  <c r="A25" i="4"/>
  <c r="T25" i="4"/>
  <c r="Z25" i="4" s="1"/>
  <c r="AA25" i="4" s="1"/>
  <c r="AI25" i="4"/>
  <c r="AP25" i="4"/>
  <c r="AQ25" i="4" s="1"/>
  <c r="AR25" i="4" s="1"/>
  <c r="BB25" i="4"/>
  <c r="BC25" i="4"/>
  <c r="A26" i="4"/>
  <c r="T26" i="4"/>
  <c r="Z26" i="4" s="1"/>
  <c r="AA26" i="4" s="1"/>
  <c r="AI26" i="4"/>
  <c r="AP26" i="4"/>
  <c r="AQ26" i="4" s="1"/>
  <c r="AR26" i="4" s="1"/>
  <c r="BB26" i="4"/>
  <c r="BC26" i="4"/>
  <c r="A27" i="4"/>
  <c r="T27" i="4"/>
  <c r="Z27" i="4" s="1"/>
  <c r="AA27" i="4" s="1"/>
  <c r="AI27" i="4"/>
  <c r="AP27" i="4"/>
  <c r="AQ27" i="4" s="1"/>
  <c r="AR27" i="4" s="1"/>
  <c r="BB27" i="4"/>
  <c r="BC27" i="4"/>
  <c r="A28" i="4"/>
  <c r="T28" i="4"/>
  <c r="Z28" i="4" s="1"/>
  <c r="AA28" i="4" s="1"/>
  <c r="AI28" i="4"/>
  <c r="AP28" i="4"/>
  <c r="AQ28" i="4" s="1"/>
  <c r="AR28" i="4" s="1"/>
  <c r="BB28" i="4"/>
  <c r="BC28" i="4"/>
  <c r="A29" i="4"/>
  <c r="T29" i="4"/>
  <c r="Z29" i="4" s="1"/>
  <c r="AA29" i="4" s="1"/>
  <c r="AI29" i="4"/>
  <c r="AP29" i="4"/>
  <c r="AQ29" i="4" s="1"/>
  <c r="AR29" i="4" s="1"/>
  <c r="BB29" i="4"/>
  <c r="BC29" i="4"/>
  <c r="A30" i="4"/>
  <c r="T30" i="4"/>
  <c r="Z30" i="4" s="1"/>
  <c r="AA30" i="4" s="1"/>
  <c r="AI30" i="4"/>
  <c r="AP30" i="4"/>
  <c r="AQ30" i="4" s="1"/>
  <c r="AR30" i="4" s="1"/>
  <c r="BB30" i="4"/>
  <c r="BC30" i="4"/>
  <c r="A31" i="4"/>
  <c r="T31" i="4"/>
  <c r="Z31" i="4" s="1"/>
  <c r="AA31" i="4" s="1"/>
  <c r="AI31" i="4"/>
  <c r="AP31" i="4"/>
  <c r="AQ31" i="4" s="1"/>
  <c r="AR31" i="4" s="1"/>
  <c r="BB31" i="4"/>
  <c r="BC31" i="4"/>
  <c r="A32" i="4"/>
  <c r="T32" i="4"/>
  <c r="Z32" i="4" s="1"/>
  <c r="AA32" i="4" s="1"/>
  <c r="AI32" i="4"/>
  <c r="AP32" i="4"/>
  <c r="AQ32" i="4" s="1"/>
  <c r="AR32" i="4" s="1"/>
  <c r="BB32" i="4"/>
  <c r="BC32" i="4"/>
  <c r="A33" i="4"/>
  <c r="T33" i="4"/>
  <c r="Z33" i="4" s="1"/>
  <c r="AA33" i="4" s="1"/>
  <c r="AI33" i="4"/>
  <c r="AP33" i="4"/>
  <c r="AQ33" i="4" s="1"/>
  <c r="AR33" i="4" s="1"/>
  <c r="BB33" i="4"/>
  <c r="BC33" i="4"/>
  <c r="A34" i="4"/>
  <c r="T34" i="4"/>
  <c r="Z34" i="4" s="1"/>
  <c r="AA34" i="4" s="1"/>
  <c r="AI34" i="4"/>
  <c r="AP34" i="4"/>
  <c r="AQ34" i="4" s="1"/>
  <c r="AR34" i="4" s="1"/>
  <c r="BB34" i="4"/>
  <c r="BC34" i="4"/>
  <c r="A35" i="4"/>
  <c r="T35" i="4"/>
  <c r="Z35" i="4" s="1"/>
  <c r="AA35" i="4" s="1"/>
  <c r="AI35" i="4"/>
  <c r="AP35" i="4"/>
  <c r="AQ35" i="4" s="1"/>
  <c r="AR35" i="4" s="1"/>
  <c r="BB35" i="4"/>
  <c r="BC35" i="4"/>
  <c r="A36" i="4"/>
  <c r="T36" i="4"/>
  <c r="Z36" i="4" s="1"/>
  <c r="AA36" i="4" s="1"/>
  <c r="AI36" i="4"/>
  <c r="AP36" i="4"/>
  <c r="AQ36" i="4" s="1"/>
  <c r="AR36" i="4" s="1"/>
  <c r="BB36" i="4"/>
  <c r="BC36" i="4"/>
  <c r="A37" i="4"/>
  <c r="T37" i="4"/>
  <c r="Z37" i="4" s="1"/>
  <c r="AA37" i="4" s="1"/>
  <c r="AI37" i="4"/>
  <c r="AP37" i="4"/>
  <c r="AQ37" i="4" s="1"/>
  <c r="AR37" i="4" s="1"/>
  <c r="BB37" i="4"/>
  <c r="BC37" i="4"/>
  <c r="A38" i="4"/>
  <c r="T38" i="4"/>
  <c r="Z38" i="4" s="1"/>
  <c r="AA38" i="4" s="1"/>
  <c r="AI38" i="4"/>
  <c r="AP38" i="4"/>
  <c r="AQ38" i="4" s="1"/>
  <c r="AR38" i="4" s="1"/>
  <c r="BB38" i="4"/>
  <c r="BC38" i="4"/>
  <c r="A39" i="4"/>
  <c r="T39" i="4"/>
  <c r="Z39" i="4" s="1"/>
  <c r="AA39" i="4" s="1"/>
  <c r="AI39" i="4"/>
  <c r="AP39" i="4"/>
  <c r="AQ39" i="4" s="1"/>
  <c r="AR39" i="4" s="1"/>
  <c r="BB39" i="4"/>
  <c r="BC39" i="4"/>
  <c r="A40" i="4"/>
  <c r="T40" i="4"/>
  <c r="Z40" i="4" s="1"/>
  <c r="AA40" i="4" s="1"/>
  <c r="AI40" i="4"/>
  <c r="AP40" i="4"/>
  <c r="AQ40" i="4" s="1"/>
  <c r="AR40" i="4" s="1"/>
  <c r="BB40" i="4"/>
  <c r="BC40" i="4"/>
  <c r="A41" i="4"/>
  <c r="T41" i="4"/>
  <c r="Z41" i="4" s="1"/>
  <c r="AA41" i="4" s="1"/>
  <c r="AI41" i="4"/>
  <c r="AP41" i="4"/>
  <c r="AQ41" i="4" s="1"/>
  <c r="AR41" i="4" s="1"/>
  <c r="BB41" i="4"/>
  <c r="BC41" i="4"/>
  <c r="A42" i="4"/>
  <c r="T42" i="4"/>
  <c r="Z42" i="4" s="1"/>
  <c r="AA42" i="4" s="1"/>
  <c r="AI42" i="4"/>
  <c r="AP42" i="4"/>
  <c r="AQ42" i="4" s="1"/>
  <c r="AR42" i="4" s="1"/>
  <c r="BB42" i="4"/>
  <c r="BC42" i="4"/>
  <c r="A43" i="4"/>
  <c r="T43" i="4"/>
  <c r="Z43" i="4" s="1"/>
  <c r="AA43" i="4" s="1"/>
  <c r="AI43" i="4"/>
  <c r="AP43" i="4"/>
  <c r="AQ43" i="4" s="1"/>
  <c r="AR43" i="4" s="1"/>
  <c r="BB43" i="4"/>
  <c r="BC43" i="4"/>
  <c r="A44" i="4"/>
  <c r="T44" i="4"/>
  <c r="Z44" i="4" s="1"/>
  <c r="AA44" i="4" s="1"/>
  <c r="AI44" i="4"/>
  <c r="AP44" i="4"/>
  <c r="AQ44" i="4" s="1"/>
  <c r="AR44" i="4" s="1"/>
  <c r="BB44" i="4"/>
  <c r="BC44" i="4"/>
  <c r="A45" i="4"/>
  <c r="T45" i="4"/>
  <c r="Z45" i="4" s="1"/>
  <c r="AA45" i="4" s="1"/>
  <c r="AI45" i="4"/>
  <c r="AP45" i="4"/>
  <c r="AQ45" i="4" s="1"/>
  <c r="AR45" i="4" s="1"/>
  <c r="BB45" i="4"/>
  <c r="BC45" i="4"/>
  <c r="A46" i="4"/>
  <c r="T46" i="4"/>
  <c r="Z46" i="4" s="1"/>
  <c r="AA46" i="4" s="1"/>
  <c r="AI46" i="4"/>
  <c r="AP46" i="4"/>
  <c r="AQ46" i="4" s="1"/>
  <c r="AR46" i="4" s="1"/>
  <c r="BB46" i="4"/>
  <c r="BC46" i="4"/>
  <c r="A47" i="4"/>
  <c r="T47" i="4"/>
  <c r="Z47" i="4" s="1"/>
  <c r="AA47" i="4" s="1"/>
  <c r="AI47" i="4"/>
  <c r="AP47" i="4"/>
  <c r="AQ47" i="4" s="1"/>
  <c r="AR47" i="4" s="1"/>
  <c r="BB47" i="4"/>
  <c r="BC47" i="4"/>
  <c r="A48" i="4"/>
  <c r="T48" i="4"/>
  <c r="Z48" i="4" s="1"/>
  <c r="AA48" i="4" s="1"/>
  <c r="AI48" i="4"/>
  <c r="AP48" i="4"/>
  <c r="AQ48" i="4" s="1"/>
  <c r="AR48" i="4" s="1"/>
  <c r="BB48" i="4"/>
  <c r="BC48" i="4"/>
  <c r="A49" i="4"/>
  <c r="T49" i="4"/>
  <c r="Z49" i="4" s="1"/>
  <c r="AA49" i="4" s="1"/>
  <c r="AI49" i="4"/>
  <c r="AP49" i="4"/>
  <c r="AQ49" i="4" s="1"/>
  <c r="AR49" i="4" s="1"/>
  <c r="BB49" i="4"/>
  <c r="BC49" i="4"/>
  <c r="A50" i="4"/>
  <c r="T50" i="4"/>
  <c r="Z50" i="4" s="1"/>
  <c r="AA50" i="4" s="1"/>
  <c r="AI50" i="4"/>
  <c r="AP50" i="4"/>
  <c r="AQ50" i="4" s="1"/>
  <c r="AR50" i="4" s="1"/>
  <c r="BB50" i="4"/>
  <c r="BC50" i="4"/>
  <c r="A51" i="4"/>
  <c r="T51" i="4"/>
  <c r="Z51" i="4" s="1"/>
  <c r="AA51" i="4" s="1"/>
  <c r="AI51" i="4"/>
  <c r="AP51" i="4"/>
  <c r="AQ51" i="4" s="1"/>
  <c r="AR51" i="4" s="1"/>
  <c r="BB51" i="4"/>
  <c r="BC51" i="4"/>
  <c r="A52" i="4"/>
  <c r="T52" i="4"/>
  <c r="Z52" i="4" s="1"/>
  <c r="AA52" i="4" s="1"/>
  <c r="AI52" i="4"/>
  <c r="AP52" i="4"/>
  <c r="AQ52" i="4" s="1"/>
  <c r="AR52" i="4" s="1"/>
  <c r="BB52" i="4"/>
  <c r="BC52" i="4"/>
  <c r="A53" i="4"/>
  <c r="T53" i="4"/>
  <c r="Z53" i="4" s="1"/>
  <c r="AA53" i="4" s="1"/>
  <c r="AI53" i="4"/>
  <c r="AP53" i="4"/>
  <c r="AQ53" i="4" s="1"/>
  <c r="AR53" i="4" s="1"/>
  <c r="BB53" i="4"/>
  <c r="BC53" i="4"/>
  <c r="A54" i="4"/>
  <c r="T54" i="4"/>
  <c r="Z54" i="4" s="1"/>
  <c r="AA54" i="4" s="1"/>
  <c r="AI54" i="4"/>
  <c r="AP54" i="4"/>
  <c r="AQ54" i="4" s="1"/>
  <c r="AR54" i="4" s="1"/>
  <c r="BB54" i="4"/>
  <c r="BC54" i="4"/>
  <c r="A55" i="4"/>
  <c r="T55" i="4"/>
  <c r="Z55" i="4" s="1"/>
  <c r="AA55" i="4" s="1"/>
  <c r="AI55" i="4"/>
  <c r="AP55" i="4"/>
  <c r="AQ55" i="4" s="1"/>
  <c r="AR55" i="4" s="1"/>
  <c r="BB55" i="4"/>
  <c r="BC55" i="4"/>
  <c r="A56" i="4"/>
  <c r="T56" i="4"/>
  <c r="Z56" i="4" s="1"/>
  <c r="AA56" i="4" s="1"/>
  <c r="AI56" i="4"/>
  <c r="AP56" i="4"/>
  <c r="AQ56" i="4" s="1"/>
  <c r="AR56" i="4" s="1"/>
  <c r="BB56" i="4"/>
  <c r="BC56" i="4"/>
  <c r="A57" i="4"/>
  <c r="T57" i="4"/>
  <c r="Z57" i="4" s="1"/>
  <c r="AA57" i="4" s="1"/>
  <c r="AI57" i="4"/>
  <c r="AP57" i="4"/>
  <c r="AQ57" i="4" s="1"/>
  <c r="AR57" i="4" s="1"/>
  <c r="BB57" i="4"/>
  <c r="BC57" i="4"/>
  <c r="A58" i="4"/>
  <c r="T58" i="4"/>
  <c r="Z58" i="4" s="1"/>
  <c r="AA58" i="4" s="1"/>
  <c r="AI58" i="4"/>
  <c r="AP58" i="4"/>
  <c r="AQ58" i="4" s="1"/>
  <c r="AR58" i="4" s="1"/>
  <c r="BB58" i="4"/>
  <c r="BC58" i="4"/>
  <c r="A59" i="4"/>
  <c r="T59" i="4"/>
  <c r="Z59" i="4" s="1"/>
  <c r="AA59" i="4" s="1"/>
  <c r="AI59" i="4"/>
  <c r="AP59" i="4"/>
  <c r="AQ59" i="4" s="1"/>
  <c r="AR59" i="4" s="1"/>
  <c r="BB59" i="4"/>
  <c r="BC59" i="4"/>
  <c r="A60" i="4"/>
  <c r="T60" i="4"/>
  <c r="Z60" i="4" s="1"/>
  <c r="AA60" i="4" s="1"/>
  <c r="AI60" i="4"/>
  <c r="AP60" i="4"/>
  <c r="AQ60" i="4" s="1"/>
  <c r="AR60" i="4" s="1"/>
  <c r="BB60" i="4"/>
  <c r="BC60" i="4"/>
  <c r="A61" i="4"/>
  <c r="T61" i="4"/>
  <c r="Z61" i="4" s="1"/>
  <c r="AA61" i="4" s="1"/>
  <c r="AI61" i="4"/>
  <c r="AP61" i="4"/>
  <c r="AQ61" i="4" s="1"/>
  <c r="AR61" i="4" s="1"/>
  <c r="BB61" i="4"/>
  <c r="BC61" i="4"/>
  <c r="A62" i="4"/>
  <c r="T62" i="4"/>
  <c r="Z62" i="4" s="1"/>
  <c r="AA62" i="4" s="1"/>
  <c r="AI62" i="4"/>
  <c r="AP62" i="4"/>
  <c r="AQ62" i="4" s="1"/>
  <c r="AR62" i="4" s="1"/>
  <c r="BB62" i="4"/>
  <c r="BC62" i="4"/>
  <c r="A63" i="4"/>
  <c r="T63" i="4"/>
  <c r="Z63" i="4" s="1"/>
  <c r="AA63" i="4" s="1"/>
  <c r="AI63" i="4"/>
  <c r="AP63" i="4"/>
  <c r="AQ63" i="4" s="1"/>
  <c r="AR63" i="4" s="1"/>
  <c r="BB63" i="4"/>
  <c r="BC63" i="4"/>
  <c r="A64" i="4"/>
  <c r="T64" i="4"/>
  <c r="Z64" i="4" s="1"/>
  <c r="AA64" i="4" s="1"/>
  <c r="AI64" i="4"/>
  <c r="AP64" i="4"/>
  <c r="AQ64" i="4" s="1"/>
  <c r="AR64" i="4" s="1"/>
  <c r="BB64" i="4"/>
  <c r="BC64" i="4"/>
  <c r="A65" i="4"/>
  <c r="T65" i="4"/>
  <c r="Z65" i="4" s="1"/>
  <c r="AA65" i="4" s="1"/>
  <c r="AI65" i="4"/>
  <c r="AP65" i="4"/>
  <c r="AQ65" i="4" s="1"/>
  <c r="AR65" i="4" s="1"/>
  <c r="BB65" i="4"/>
  <c r="BC65" i="4"/>
  <c r="A66" i="4"/>
  <c r="T66" i="4"/>
  <c r="Z66" i="4" s="1"/>
  <c r="AA66" i="4" s="1"/>
  <c r="AI66" i="4"/>
  <c r="AP66" i="4"/>
  <c r="AQ66" i="4" s="1"/>
  <c r="AR66" i="4" s="1"/>
  <c r="BB66" i="4"/>
  <c r="BC66" i="4"/>
  <c r="A67" i="4"/>
  <c r="T67" i="4"/>
  <c r="Z67" i="4" s="1"/>
  <c r="AA67" i="4" s="1"/>
  <c r="AI67" i="4"/>
  <c r="AP67" i="4"/>
  <c r="AQ67" i="4" s="1"/>
  <c r="AR67" i="4" s="1"/>
  <c r="BB67" i="4"/>
  <c r="BC67" i="4"/>
  <c r="A68" i="4"/>
  <c r="T68" i="4"/>
  <c r="Z68" i="4" s="1"/>
  <c r="AA68" i="4" s="1"/>
  <c r="AI68" i="4"/>
  <c r="AP68" i="4"/>
  <c r="AQ68" i="4" s="1"/>
  <c r="AR68" i="4" s="1"/>
  <c r="BB68" i="4"/>
  <c r="BC68" i="4"/>
  <c r="A69" i="4"/>
  <c r="T69" i="4"/>
  <c r="Z69" i="4" s="1"/>
  <c r="AA69" i="4" s="1"/>
  <c r="AI69" i="4"/>
  <c r="AP69" i="4"/>
  <c r="AQ69" i="4" s="1"/>
  <c r="AR69" i="4" s="1"/>
  <c r="BB69" i="4"/>
  <c r="BC69" i="4"/>
  <c r="A70" i="4"/>
  <c r="T70" i="4"/>
  <c r="Z70" i="4" s="1"/>
  <c r="AA70" i="4" s="1"/>
  <c r="AI70" i="4"/>
  <c r="AP70" i="4"/>
  <c r="AQ70" i="4" s="1"/>
  <c r="AR70" i="4" s="1"/>
  <c r="BB70" i="4"/>
  <c r="BC70" i="4"/>
  <c r="A71" i="4"/>
  <c r="T71" i="4"/>
  <c r="Z71" i="4" s="1"/>
  <c r="AA71" i="4" s="1"/>
  <c r="AI71" i="4"/>
  <c r="AP71" i="4"/>
  <c r="AQ71" i="4" s="1"/>
  <c r="AR71" i="4" s="1"/>
  <c r="BB71" i="4"/>
  <c r="BC71" i="4"/>
  <c r="A72" i="4"/>
  <c r="T72" i="4"/>
  <c r="Z72" i="4" s="1"/>
  <c r="AA72" i="4" s="1"/>
  <c r="AI72" i="4"/>
  <c r="AP72" i="4"/>
  <c r="AQ72" i="4" s="1"/>
  <c r="AR72" i="4" s="1"/>
  <c r="BB72" i="4"/>
  <c r="BC72" i="4"/>
  <c r="A73" i="4"/>
  <c r="T73" i="4"/>
  <c r="Z73" i="4" s="1"/>
  <c r="AA73" i="4" s="1"/>
  <c r="AI73" i="4"/>
  <c r="AP73" i="4"/>
  <c r="AQ73" i="4" s="1"/>
  <c r="AR73" i="4" s="1"/>
  <c r="BB73" i="4"/>
  <c r="BC73" i="4"/>
  <c r="A74" i="4"/>
  <c r="T74" i="4"/>
  <c r="Z74" i="4" s="1"/>
  <c r="AA74" i="4" s="1"/>
  <c r="AI74" i="4"/>
  <c r="AP74" i="4"/>
  <c r="AQ74" i="4" s="1"/>
  <c r="AR74" i="4" s="1"/>
  <c r="BB74" i="4"/>
  <c r="BC74" i="4"/>
  <c r="A75" i="4"/>
  <c r="T75" i="4"/>
  <c r="Z75" i="4" s="1"/>
  <c r="AA75" i="4" s="1"/>
  <c r="AI75" i="4"/>
  <c r="AP75" i="4"/>
  <c r="AQ75" i="4" s="1"/>
  <c r="AR75" i="4" s="1"/>
  <c r="BB75" i="4"/>
  <c r="BC75" i="4"/>
  <c r="A76" i="4"/>
  <c r="T76" i="4"/>
  <c r="Z76" i="4" s="1"/>
  <c r="AA76" i="4" s="1"/>
  <c r="AI76" i="4"/>
  <c r="AP76" i="4"/>
  <c r="AQ76" i="4" s="1"/>
  <c r="AR76" i="4" s="1"/>
  <c r="BB76" i="4"/>
  <c r="BC76" i="4"/>
  <c r="A77" i="4"/>
  <c r="T77" i="4"/>
  <c r="Z77" i="4" s="1"/>
  <c r="AA77" i="4" s="1"/>
  <c r="AI77" i="4"/>
  <c r="AP77" i="4"/>
  <c r="AQ77" i="4" s="1"/>
  <c r="AR77" i="4" s="1"/>
  <c r="BB77" i="4"/>
  <c r="BC77" i="4"/>
  <c r="A78" i="4"/>
  <c r="T78" i="4"/>
  <c r="Z78" i="4" s="1"/>
  <c r="AA78" i="4" s="1"/>
  <c r="AI78" i="4"/>
  <c r="AP78" i="4"/>
  <c r="AQ78" i="4" s="1"/>
  <c r="AR78" i="4" s="1"/>
  <c r="BB78" i="4"/>
  <c r="BC78" i="4"/>
  <c r="A79" i="4"/>
  <c r="T79" i="4"/>
  <c r="Z79" i="4" s="1"/>
  <c r="AA79" i="4" s="1"/>
  <c r="AI79" i="4"/>
  <c r="AP79" i="4"/>
  <c r="AQ79" i="4" s="1"/>
  <c r="AR79" i="4" s="1"/>
  <c r="BB79" i="4"/>
  <c r="BC79" i="4"/>
  <c r="A80" i="4"/>
  <c r="T80" i="4"/>
  <c r="Z80" i="4" s="1"/>
  <c r="AA80" i="4" s="1"/>
  <c r="AI80" i="4"/>
  <c r="AP80" i="4"/>
  <c r="AQ80" i="4" s="1"/>
  <c r="AR80" i="4" s="1"/>
  <c r="BB80" i="4"/>
  <c r="BC80" i="4"/>
  <c r="A81" i="4"/>
  <c r="T81" i="4"/>
  <c r="Z81" i="4" s="1"/>
  <c r="AA81" i="4" s="1"/>
  <c r="AI81" i="4"/>
  <c r="AP81" i="4"/>
  <c r="AQ81" i="4" s="1"/>
  <c r="AR81" i="4" s="1"/>
  <c r="BB81" i="4"/>
  <c r="BC81" i="4"/>
  <c r="A82" i="4"/>
  <c r="T82" i="4"/>
  <c r="Z82" i="4" s="1"/>
  <c r="AA82" i="4" s="1"/>
  <c r="AI82" i="4"/>
  <c r="AP82" i="4"/>
  <c r="AQ82" i="4" s="1"/>
  <c r="AR82" i="4" s="1"/>
  <c r="BB82" i="4"/>
  <c r="BC82" i="4"/>
  <c r="A83" i="4"/>
  <c r="T83" i="4"/>
  <c r="Z83" i="4" s="1"/>
  <c r="AA83" i="4" s="1"/>
  <c r="AI83" i="4"/>
  <c r="AP83" i="4"/>
  <c r="AQ83" i="4" s="1"/>
  <c r="AR83" i="4" s="1"/>
  <c r="BB83" i="4"/>
  <c r="BC83" i="4"/>
  <c r="A84" i="4"/>
  <c r="T84" i="4"/>
  <c r="Z84" i="4" s="1"/>
  <c r="AA84" i="4" s="1"/>
  <c r="AI84" i="4"/>
  <c r="AP84" i="4"/>
  <c r="AQ84" i="4" s="1"/>
  <c r="AR84" i="4" s="1"/>
  <c r="BB84" i="4"/>
  <c r="BC84" i="4"/>
  <c r="A85" i="4"/>
  <c r="T85" i="4"/>
  <c r="Z85" i="4" s="1"/>
  <c r="AA85" i="4" s="1"/>
  <c r="AI85" i="4"/>
  <c r="AP85" i="4"/>
  <c r="AQ85" i="4" s="1"/>
  <c r="AR85" i="4" s="1"/>
  <c r="BB85" i="4"/>
  <c r="BC85" i="4"/>
  <c r="A86" i="4"/>
  <c r="T86" i="4"/>
  <c r="Z86" i="4" s="1"/>
  <c r="AA86" i="4" s="1"/>
  <c r="AI86" i="4"/>
  <c r="AP86" i="4"/>
  <c r="AQ86" i="4" s="1"/>
  <c r="AR86" i="4" s="1"/>
  <c r="BB86" i="4"/>
  <c r="BC86" i="4"/>
  <c r="A87" i="4"/>
  <c r="T87" i="4"/>
  <c r="Z87" i="4" s="1"/>
  <c r="AA87" i="4" s="1"/>
  <c r="AI87" i="4"/>
  <c r="AP87" i="4"/>
  <c r="AQ87" i="4" s="1"/>
  <c r="AR87" i="4" s="1"/>
  <c r="BB87" i="4"/>
  <c r="BC87" i="4"/>
  <c r="A88" i="4"/>
  <c r="T88" i="4"/>
  <c r="Z88" i="4" s="1"/>
  <c r="AA88" i="4" s="1"/>
  <c r="AI88" i="4"/>
  <c r="AP88" i="4"/>
  <c r="AQ88" i="4" s="1"/>
  <c r="AR88" i="4" s="1"/>
  <c r="BB88" i="4"/>
  <c r="BC88" i="4"/>
  <c r="A89" i="4"/>
  <c r="T89" i="4"/>
  <c r="Z89" i="4" s="1"/>
  <c r="AA89" i="4" s="1"/>
  <c r="AI89" i="4"/>
  <c r="AP89" i="4"/>
  <c r="AQ89" i="4" s="1"/>
  <c r="AR89" i="4" s="1"/>
  <c r="BB89" i="4"/>
  <c r="BC89" i="4"/>
  <c r="A90" i="4"/>
  <c r="T90" i="4"/>
  <c r="Z90" i="4" s="1"/>
  <c r="AA90" i="4" s="1"/>
  <c r="AI90" i="4"/>
  <c r="AP90" i="4"/>
  <c r="AQ90" i="4" s="1"/>
  <c r="AR90" i="4" s="1"/>
  <c r="BB90" i="4"/>
  <c r="BC90" i="4"/>
  <c r="A91" i="4"/>
  <c r="T91" i="4"/>
  <c r="Z91" i="4" s="1"/>
  <c r="AA91" i="4" s="1"/>
  <c r="AI91" i="4"/>
  <c r="AP91" i="4"/>
  <c r="AQ91" i="4" s="1"/>
  <c r="AR91" i="4" s="1"/>
  <c r="BB91" i="4"/>
  <c r="BC91" i="4"/>
  <c r="A92" i="4"/>
  <c r="T92" i="4"/>
  <c r="Z92" i="4" s="1"/>
  <c r="AA92" i="4" s="1"/>
  <c r="AI92" i="4"/>
  <c r="AP92" i="4"/>
  <c r="AQ92" i="4" s="1"/>
  <c r="AR92" i="4" s="1"/>
  <c r="BB92" i="4"/>
  <c r="BC92" i="4"/>
  <c r="A93" i="4"/>
  <c r="T93" i="4"/>
  <c r="Z93" i="4" s="1"/>
  <c r="AA93" i="4" s="1"/>
  <c r="AI93" i="4"/>
  <c r="AP93" i="4"/>
  <c r="AQ93" i="4" s="1"/>
  <c r="AR93" i="4" s="1"/>
  <c r="BB93" i="4"/>
  <c r="BC93" i="4"/>
  <c r="A94" i="4"/>
  <c r="T94" i="4"/>
  <c r="Z94" i="4" s="1"/>
  <c r="AA94" i="4" s="1"/>
  <c r="AI94" i="4"/>
  <c r="AP94" i="4"/>
  <c r="AQ94" i="4" s="1"/>
  <c r="AR94" i="4" s="1"/>
  <c r="BB94" i="4"/>
  <c r="BC94" i="4"/>
  <c r="A95" i="4"/>
  <c r="T95" i="4"/>
  <c r="Z95" i="4" s="1"/>
  <c r="AA95" i="4" s="1"/>
  <c r="AI95" i="4"/>
  <c r="AP95" i="4"/>
  <c r="AQ95" i="4" s="1"/>
  <c r="AR95" i="4" s="1"/>
  <c r="BB95" i="4"/>
  <c r="BC95" i="4"/>
  <c r="A96" i="4"/>
  <c r="T96" i="4"/>
  <c r="Z96" i="4" s="1"/>
  <c r="AA96" i="4" s="1"/>
  <c r="AI96" i="4"/>
  <c r="AP96" i="4"/>
  <c r="AQ96" i="4" s="1"/>
  <c r="AR96" i="4" s="1"/>
  <c r="BB96" i="4"/>
  <c r="BC96" i="4"/>
  <c r="A97" i="4"/>
  <c r="T97" i="4"/>
  <c r="Z97" i="4" s="1"/>
  <c r="AA97" i="4" s="1"/>
  <c r="AI97" i="4"/>
  <c r="AP97" i="4"/>
  <c r="AQ97" i="4" s="1"/>
  <c r="AR97" i="4" s="1"/>
  <c r="BB97" i="4"/>
  <c r="BC97" i="4"/>
  <c r="A98" i="4"/>
  <c r="T98" i="4"/>
  <c r="Z98" i="4" s="1"/>
  <c r="AA98" i="4" s="1"/>
  <c r="AI98" i="4"/>
  <c r="AP98" i="4"/>
  <c r="AQ98" i="4" s="1"/>
  <c r="AR98" i="4" s="1"/>
  <c r="BB98" i="4"/>
  <c r="BC98" i="4"/>
  <c r="A99" i="4"/>
  <c r="T99" i="4"/>
  <c r="Z99" i="4" s="1"/>
  <c r="AA99" i="4" s="1"/>
  <c r="AI99" i="4"/>
  <c r="AP99" i="4"/>
  <c r="AQ99" i="4" s="1"/>
  <c r="AR99" i="4" s="1"/>
  <c r="BB99" i="4"/>
  <c r="BC99" i="4"/>
  <c r="A100" i="4"/>
  <c r="T100" i="4"/>
  <c r="Z100" i="4" s="1"/>
  <c r="AA100" i="4" s="1"/>
  <c r="AI100" i="4"/>
  <c r="AP100" i="4"/>
  <c r="AQ100" i="4" s="1"/>
  <c r="AR100" i="4" s="1"/>
  <c r="BB100" i="4"/>
  <c r="BC100" i="4"/>
  <c r="A101" i="4"/>
  <c r="T101" i="4"/>
  <c r="Z101" i="4" s="1"/>
  <c r="AA101" i="4" s="1"/>
  <c r="AI101" i="4"/>
  <c r="AP101" i="4"/>
  <c r="AQ101" i="4" s="1"/>
  <c r="AR101" i="4" s="1"/>
  <c r="BB101" i="4"/>
  <c r="BC101" i="4"/>
  <c r="A102" i="4"/>
  <c r="T102" i="4"/>
  <c r="Z102" i="4" s="1"/>
  <c r="AA102" i="4" s="1"/>
  <c r="AI102" i="4"/>
  <c r="AP102" i="4"/>
  <c r="AQ102" i="4" s="1"/>
  <c r="AR102" i="4" s="1"/>
  <c r="BB102" i="4"/>
  <c r="BC102" i="4"/>
  <c r="A103" i="4"/>
  <c r="T103" i="4"/>
  <c r="Z103" i="4" s="1"/>
  <c r="AA103" i="4" s="1"/>
  <c r="AI103" i="4"/>
  <c r="AP103" i="4"/>
  <c r="AQ103" i="4" s="1"/>
  <c r="AR103" i="4" s="1"/>
  <c r="BB103" i="4"/>
  <c r="BC103" i="4"/>
  <c r="A104" i="4"/>
  <c r="T104" i="4"/>
  <c r="Z104" i="4" s="1"/>
  <c r="AA104" i="4" s="1"/>
  <c r="AI104" i="4"/>
  <c r="AP104" i="4"/>
  <c r="AQ104" i="4" s="1"/>
  <c r="AR104" i="4" s="1"/>
  <c r="BB104" i="4"/>
  <c r="BC104" i="4"/>
  <c r="A105" i="4"/>
  <c r="T105" i="4"/>
  <c r="Z105" i="4" s="1"/>
  <c r="AA105" i="4" s="1"/>
  <c r="AI105" i="4"/>
  <c r="AP105" i="4"/>
  <c r="AQ105" i="4" s="1"/>
  <c r="AR105" i="4" s="1"/>
  <c r="BB105" i="4"/>
  <c r="BC105" i="4"/>
  <c r="A106" i="4"/>
  <c r="T106" i="4"/>
  <c r="Z106" i="4" s="1"/>
  <c r="AA106" i="4" s="1"/>
  <c r="AI106" i="4"/>
  <c r="AP106" i="4"/>
  <c r="AQ106" i="4" s="1"/>
  <c r="AR106" i="4" s="1"/>
  <c r="BB106" i="4"/>
  <c r="BC106" i="4"/>
  <c r="A107" i="4"/>
  <c r="T107" i="4"/>
  <c r="Z107" i="4" s="1"/>
  <c r="AA107" i="4" s="1"/>
  <c r="AI107" i="4"/>
  <c r="AP107" i="4"/>
  <c r="AQ107" i="4" s="1"/>
  <c r="AR107" i="4" s="1"/>
  <c r="BB107" i="4"/>
  <c r="BC107" i="4"/>
  <c r="A108" i="4"/>
  <c r="T108" i="4"/>
  <c r="Z108" i="4" s="1"/>
  <c r="AA108" i="4" s="1"/>
  <c r="AI108" i="4"/>
  <c r="AP108" i="4"/>
  <c r="AQ108" i="4" s="1"/>
  <c r="AR108" i="4" s="1"/>
  <c r="BB108" i="4"/>
  <c r="BC108" i="4"/>
  <c r="A109" i="4"/>
  <c r="T109" i="4"/>
  <c r="Z109" i="4" s="1"/>
  <c r="AA109" i="4" s="1"/>
  <c r="AI109" i="4"/>
  <c r="AP109" i="4"/>
  <c r="AQ109" i="4" s="1"/>
  <c r="AR109" i="4" s="1"/>
  <c r="BB109" i="4"/>
  <c r="BC109" i="4"/>
  <c r="A110" i="4"/>
  <c r="T110" i="4"/>
  <c r="Z110" i="4" s="1"/>
  <c r="AA110" i="4" s="1"/>
  <c r="AI110" i="4"/>
  <c r="AP110" i="4"/>
  <c r="AQ110" i="4" s="1"/>
  <c r="AR110" i="4" s="1"/>
  <c r="BB110" i="4"/>
  <c r="BC110" i="4"/>
  <c r="A111" i="4"/>
  <c r="T111" i="4"/>
  <c r="Z111" i="4" s="1"/>
  <c r="AA111" i="4" s="1"/>
  <c r="AI111" i="4"/>
  <c r="AP111" i="4"/>
  <c r="AQ111" i="4" s="1"/>
  <c r="AR111" i="4" s="1"/>
  <c r="BB111" i="4"/>
  <c r="BC111" i="4"/>
  <c r="A112" i="4"/>
  <c r="T112" i="4"/>
  <c r="Z112" i="4" s="1"/>
  <c r="AA112" i="4" s="1"/>
  <c r="AI112" i="4"/>
  <c r="AP112" i="4"/>
  <c r="AQ112" i="4" s="1"/>
  <c r="AR112" i="4" s="1"/>
  <c r="BB112" i="4"/>
  <c r="BC112" i="4"/>
  <c r="A113" i="4"/>
  <c r="T113" i="4"/>
  <c r="Z113" i="4" s="1"/>
  <c r="AA113" i="4" s="1"/>
  <c r="AI113" i="4"/>
  <c r="AP113" i="4"/>
  <c r="AQ113" i="4" s="1"/>
  <c r="AR113" i="4" s="1"/>
  <c r="BB113" i="4"/>
  <c r="BC113" i="4"/>
  <c r="A114" i="4"/>
  <c r="T114" i="4"/>
  <c r="Z114" i="4" s="1"/>
  <c r="AA114" i="4" s="1"/>
  <c r="AI114" i="4"/>
  <c r="AP114" i="4"/>
  <c r="AQ114" i="4" s="1"/>
  <c r="AR114" i="4" s="1"/>
  <c r="BB114" i="4"/>
  <c r="BC114" i="4"/>
  <c r="A115" i="4"/>
  <c r="T115" i="4"/>
  <c r="Z115" i="4" s="1"/>
  <c r="AA115" i="4" s="1"/>
  <c r="AI115" i="4"/>
  <c r="AP115" i="4"/>
  <c r="AQ115" i="4" s="1"/>
  <c r="AR115" i="4" s="1"/>
  <c r="BB115" i="4"/>
  <c r="BC115" i="4"/>
  <c r="A116" i="4"/>
  <c r="T116" i="4"/>
  <c r="Z116" i="4" s="1"/>
  <c r="AA116" i="4" s="1"/>
  <c r="AI116" i="4"/>
  <c r="AP116" i="4"/>
  <c r="AQ116" i="4" s="1"/>
  <c r="AR116" i="4" s="1"/>
  <c r="BB116" i="4"/>
  <c r="BC116" i="4"/>
  <c r="A117" i="4"/>
  <c r="T117" i="4"/>
  <c r="Z117" i="4" s="1"/>
  <c r="AA117" i="4" s="1"/>
  <c r="AI117" i="4"/>
  <c r="AP117" i="4"/>
  <c r="AQ117" i="4" s="1"/>
  <c r="AR117" i="4" s="1"/>
  <c r="BB117" i="4"/>
  <c r="BC117" i="4"/>
  <c r="A118" i="4"/>
  <c r="T118" i="4"/>
  <c r="Z118" i="4" s="1"/>
  <c r="AA118" i="4" s="1"/>
  <c r="AI118" i="4"/>
  <c r="AP118" i="4"/>
  <c r="AQ118" i="4" s="1"/>
  <c r="AR118" i="4" s="1"/>
  <c r="BB118" i="4"/>
  <c r="BC118" i="4"/>
  <c r="A119" i="4"/>
  <c r="T119" i="4"/>
  <c r="Z119" i="4" s="1"/>
  <c r="AA119" i="4" s="1"/>
  <c r="AI119" i="4"/>
  <c r="AP119" i="4"/>
  <c r="AQ119" i="4" s="1"/>
  <c r="AR119" i="4" s="1"/>
  <c r="BB119" i="4"/>
  <c r="BC119" i="4"/>
  <c r="A120" i="4"/>
  <c r="T120" i="4"/>
  <c r="Z120" i="4" s="1"/>
  <c r="AA120" i="4" s="1"/>
  <c r="AI120" i="4"/>
  <c r="AP120" i="4"/>
  <c r="AQ120" i="4" s="1"/>
  <c r="AR120" i="4" s="1"/>
  <c r="BB120" i="4"/>
  <c r="BC120" i="4"/>
  <c r="A121" i="4"/>
  <c r="T121" i="4"/>
  <c r="Z121" i="4" s="1"/>
  <c r="AA121" i="4" s="1"/>
  <c r="AI121" i="4"/>
  <c r="AP121" i="4"/>
  <c r="AQ121" i="4" s="1"/>
  <c r="AR121" i="4" s="1"/>
  <c r="BB121" i="4"/>
  <c r="BC121" i="4"/>
  <c r="A122" i="4"/>
  <c r="T122" i="4"/>
  <c r="Z122" i="4" s="1"/>
  <c r="AA122" i="4" s="1"/>
  <c r="AI122" i="4"/>
  <c r="AP122" i="4"/>
  <c r="AQ122" i="4" s="1"/>
  <c r="AR122" i="4" s="1"/>
  <c r="BB122" i="4"/>
  <c r="BC122" i="4"/>
  <c r="A123" i="4"/>
  <c r="T123" i="4"/>
  <c r="Z123" i="4" s="1"/>
  <c r="AA123" i="4" s="1"/>
  <c r="AI123" i="4"/>
  <c r="AP123" i="4"/>
  <c r="AQ123" i="4" s="1"/>
  <c r="AR123" i="4" s="1"/>
  <c r="BB123" i="4"/>
  <c r="BC123" i="4"/>
  <c r="A124" i="4"/>
  <c r="T124" i="4"/>
  <c r="Z124" i="4" s="1"/>
  <c r="AA124" i="4" s="1"/>
  <c r="AI124" i="4"/>
  <c r="AP124" i="4"/>
  <c r="AQ124" i="4" s="1"/>
  <c r="AR124" i="4" s="1"/>
  <c r="BB124" i="4"/>
  <c r="BC124" i="4"/>
  <c r="BD90" i="5"/>
  <c r="AY90" i="5"/>
  <c r="AX90" i="5"/>
  <c r="AW90" i="5"/>
  <c r="AV90" i="5"/>
  <c r="AU90" i="5"/>
  <c r="AT90" i="5"/>
  <c r="AS90" i="5"/>
  <c r="AH90" i="5"/>
  <c r="AG90" i="5"/>
  <c r="AF90" i="5"/>
  <c r="Y90" i="5"/>
  <c r="X90" i="5"/>
  <c r="W90" i="5"/>
  <c r="V90" i="5"/>
  <c r="U90" i="5"/>
  <c r="S90" i="5"/>
  <c r="R90" i="5"/>
  <c r="B90" i="5"/>
  <c r="BC89" i="5"/>
  <c r="AP89" i="5"/>
  <c r="AQ89" i="5" s="1"/>
  <c r="AR89" i="5" s="1"/>
  <c r="AI89" i="5"/>
  <c r="T89" i="5"/>
  <c r="A89" i="5"/>
  <c r="BC88" i="5"/>
  <c r="AP88" i="5"/>
  <c r="AQ88" i="5" s="1"/>
  <c r="AR88" i="5" s="1"/>
  <c r="AI88" i="5"/>
  <c r="T88" i="5"/>
  <c r="A88" i="5"/>
  <c r="BC14" i="5"/>
  <c r="AP14" i="5"/>
  <c r="AQ14" i="5" s="1"/>
  <c r="AR14" i="5" s="1"/>
  <c r="AI14" i="5"/>
  <c r="T14" i="5"/>
  <c r="Z14" i="5" s="1"/>
  <c r="A14" i="5"/>
  <c r="BC13" i="5"/>
  <c r="AP13" i="5"/>
  <c r="AQ13" i="5" s="1"/>
  <c r="AR13" i="5" s="1"/>
  <c r="AI13" i="5"/>
  <c r="T13" i="5"/>
  <c r="Z13" i="5" s="1"/>
  <c r="A13" i="5"/>
  <c r="BC12" i="5"/>
  <c r="AP12" i="5"/>
  <c r="AQ12" i="5" s="1"/>
  <c r="AR12" i="5" s="1"/>
  <c r="AI12" i="5"/>
  <c r="T12" i="5"/>
  <c r="Z12" i="5" s="1"/>
  <c r="A12" i="5"/>
  <c r="BC11" i="5"/>
  <c r="AP11" i="5"/>
  <c r="AQ11" i="5" s="1"/>
  <c r="AR11" i="5" s="1"/>
  <c r="AI11" i="5"/>
  <c r="T11" i="5"/>
  <c r="Z11" i="5" s="1"/>
  <c r="A11" i="5"/>
  <c r="BC10" i="5"/>
  <c r="AP10" i="5"/>
  <c r="AQ10" i="5" s="1"/>
  <c r="AR10" i="5" s="1"/>
  <c r="AI10" i="5"/>
  <c r="T10" i="5"/>
  <c r="Z10" i="5" s="1"/>
  <c r="A10" i="5"/>
  <c r="BC9" i="5"/>
  <c r="AP9" i="5"/>
  <c r="AQ9" i="5" s="1"/>
  <c r="AR9" i="5" s="1"/>
  <c r="AI9" i="5"/>
  <c r="T9" i="5"/>
  <c r="Z9" i="5" s="1"/>
  <c r="A9" i="5"/>
  <c r="BC8" i="5"/>
  <c r="AP8" i="5"/>
  <c r="AQ8" i="5" s="1"/>
  <c r="AR8" i="5" s="1"/>
  <c r="AI8" i="5"/>
  <c r="T8" i="5"/>
  <c r="Z8" i="5" s="1"/>
  <c r="A8" i="5"/>
  <c r="BC7" i="5"/>
  <c r="AP7" i="5"/>
  <c r="AQ7" i="5" s="1"/>
  <c r="AR7" i="5" s="1"/>
  <c r="AI7" i="5"/>
  <c r="T7" i="5"/>
  <c r="Z7" i="5" s="1"/>
  <c r="A7" i="5"/>
  <c r="BC6" i="5"/>
  <c r="AP6" i="5"/>
  <c r="AQ6" i="5" s="1"/>
  <c r="AR6" i="5" s="1"/>
  <c r="AI6" i="5"/>
  <c r="T6" i="5"/>
  <c r="A6" i="5"/>
  <c r="BE114" i="4" l="1"/>
  <c r="BF114" i="4" s="1"/>
  <c r="BE68" i="4"/>
  <c r="BF68" i="4" s="1"/>
  <c r="BE55" i="4"/>
  <c r="BF55" i="4" s="1"/>
  <c r="BE53" i="4"/>
  <c r="BF53" i="4" s="1"/>
  <c r="BE51" i="4"/>
  <c r="BF51" i="4" s="1"/>
  <c r="BE49" i="4"/>
  <c r="BF49" i="4" s="1"/>
  <c r="BE47" i="4"/>
  <c r="BF47" i="4" s="1"/>
  <c r="BE45" i="4"/>
  <c r="BF45" i="4" s="1"/>
  <c r="BE43" i="4"/>
  <c r="BF43" i="4" s="1"/>
  <c r="BE41" i="4"/>
  <c r="BF41" i="4" s="1"/>
  <c r="BE39" i="4"/>
  <c r="BF39" i="4" s="1"/>
  <c r="BE37" i="4"/>
  <c r="BF37" i="4" s="1"/>
  <c r="BE113" i="4"/>
  <c r="BF113" i="4" s="1"/>
  <c r="BE111" i="4"/>
  <c r="BF111" i="4" s="1"/>
  <c r="BE109" i="4"/>
  <c r="BF109" i="4" s="1"/>
  <c r="BE107" i="4"/>
  <c r="BF107" i="4" s="1"/>
  <c r="BE105" i="4"/>
  <c r="BF105" i="4" s="1"/>
  <c r="BE103" i="4"/>
  <c r="BF103" i="4" s="1"/>
  <c r="BE101" i="4"/>
  <c r="BF101" i="4" s="1"/>
  <c r="BE99" i="4"/>
  <c r="BF99" i="4" s="1"/>
  <c r="BE97" i="4"/>
  <c r="BF97" i="4" s="1"/>
  <c r="BE95" i="4"/>
  <c r="BF95" i="4" s="1"/>
  <c r="BE93" i="4"/>
  <c r="BF93" i="4" s="1"/>
  <c r="BE91" i="4"/>
  <c r="BF91" i="4" s="1"/>
  <c r="BE89" i="4"/>
  <c r="BF89" i="4" s="1"/>
  <c r="BE83" i="4"/>
  <c r="BF83" i="4" s="1"/>
  <c r="BE84" i="4"/>
  <c r="BF84" i="4" s="1"/>
  <c r="BE80" i="4"/>
  <c r="BF80" i="4" s="1"/>
  <c r="BE56" i="4"/>
  <c r="BF56" i="4" s="1"/>
  <c r="BE54" i="4"/>
  <c r="BF54" i="4" s="1"/>
  <c r="BE52" i="4"/>
  <c r="BF52" i="4" s="1"/>
  <c r="BE50" i="4"/>
  <c r="BF50" i="4" s="1"/>
  <c r="BE48" i="4"/>
  <c r="BF48" i="4" s="1"/>
  <c r="BE46" i="4"/>
  <c r="BF46" i="4" s="1"/>
  <c r="BE44" i="4"/>
  <c r="BF44" i="4" s="1"/>
  <c r="BE42" i="4"/>
  <c r="BF42" i="4" s="1"/>
  <c r="BE40" i="4"/>
  <c r="BF40" i="4" s="1"/>
  <c r="BE38" i="4"/>
  <c r="BF38" i="4" s="1"/>
  <c r="BE36" i="4"/>
  <c r="BF36" i="4" s="1"/>
  <c r="BE34" i="4"/>
  <c r="BF34" i="4" s="1"/>
  <c r="BE16" i="4"/>
  <c r="BF16" i="4" s="1"/>
  <c r="BE14" i="4"/>
  <c r="BF14" i="4" s="1"/>
  <c r="BE6" i="4"/>
  <c r="BF6" i="4" s="1"/>
  <c r="BB88" i="5"/>
  <c r="BE88" i="5" s="1"/>
  <c r="BF88" i="5" s="1"/>
  <c r="Z88" i="5"/>
  <c r="AA88" i="5" s="1"/>
  <c r="BB89" i="5"/>
  <c r="BE89" i="5" s="1"/>
  <c r="BF89" i="5" s="1"/>
  <c r="Z89" i="5"/>
  <c r="AA89" i="5" s="1"/>
  <c r="BB9" i="5"/>
  <c r="BE9" i="5" s="1"/>
  <c r="BF9" i="5" s="1"/>
  <c r="BB10" i="5"/>
  <c r="BE10" i="5" s="1"/>
  <c r="BF10" i="5" s="1"/>
  <c r="AA10" i="5"/>
  <c r="BB14" i="5"/>
  <c r="BE14" i="5" s="1"/>
  <c r="BF14" i="5" s="1"/>
  <c r="BB13" i="5"/>
  <c r="BE13" i="5" s="1"/>
  <c r="BF13" i="5" s="1"/>
  <c r="AA13" i="5"/>
  <c r="BB6" i="5"/>
  <c r="BE6" i="5" s="1"/>
  <c r="BF6" i="5" s="1"/>
  <c r="Z6" i="5"/>
  <c r="AA6" i="5" s="1"/>
  <c r="BB7" i="5"/>
  <c r="BE7" i="5" s="1"/>
  <c r="BF7" i="5" s="1"/>
  <c r="AA7" i="5"/>
  <c r="BB11" i="5"/>
  <c r="BE11" i="5" s="1"/>
  <c r="BF11" i="5" s="1"/>
  <c r="BE35" i="4"/>
  <c r="BF35" i="4" s="1"/>
  <c r="BE77" i="4"/>
  <c r="BF77" i="4" s="1"/>
  <c r="BE72" i="4"/>
  <c r="BF72" i="4" s="1"/>
  <c r="BE63" i="4"/>
  <c r="BF63" i="4" s="1"/>
  <c r="BE62" i="4"/>
  <c r="BF62" i="4" s="1"/>
  <c r="BE61" i="4"/>
  <c r="BF61" i="4" s="1"/>
  <c r="BE60" i="4"/>
  <c r="BF60" i="4" s="1"/>
  <c r="BE19" i="4"/>
  <c r="BF19" i="4" s="1"/>
  <c r="BE118" i="4"/>
  <c r="BF118" i="4" s="1"/>
  <c r="BE79" i="4"/>
  <c r="BF79" i="4" s="1"/>
  <c r="BE73" i="4"/>
  <c r="BF73" i="4" s="1"/>
  <c r="BE69" i="4"/>
  <c r="BF69" i="4" s="1"/>
  <c r="BE64" i="4"/>
  <c r="BF64" i="4" s="1"/>
  <c r="BE27" i="4"/>
  <c r="BF27" i="4" s="1"/>
  <c r="BE76" i="4"/>
  <c r="BF76" i="4" s="1"/>
  <c r="BE57" i="4"/>
  <c r="BF57" i="4" s="1"/>
  <c r="BE31" i="4"/>
  <c r="BF31" i="4" s="1"/>
  <c r="BE29" i="4"/>
  <c r="BF29" i="4" s="1"/>
  <c r="BE24" i="4"/>
  <c r="BF24" i="4" s="1"/>
  <c r="BE21" i="4"/>
  <c r="BF21" i="4" s="1"/>
  <c r="BE18" i="4"/>
  <c r="BF18" i="4" s="1"/>
  <c r="BE7" i="4"/>
  <c r="BF7" i="4" s="1"/>
  <c r="BE121" i="4"/>
  <c r="BF121" i="4" s="1"/>
  <c r="BE120" i="4"/>
  <c r="BF120" i="4" s="1"/>
  <c r="BE82" i="4"/>
  <c r="BF82" i="4" s="1"/>
  <c r="BE10" i="4"/>
  <c r="BF10" i="4" s="1"/>
  <c r="BE8" i="4"/>
  <c r="BF8" i="4" s="1"/>
  <c r="BE85" i="4"/>
  <c r="BF85" i="4" s="1"/>
  <c r="BE59" i="4"/>
  <c r="BF59" i="4" s="1"/>
  <c r="BE58" i="4"/>
  <c r="BF58" i="4" s="1"/>
  <c r="BE11" i="4"/>
  <c r="BF11" i="4" s="1"/>
  <c r="BE119" i="4"/>
  <c r="BF119" i="4" s="1"/>
  <c r="BE122" i="4"/>
  <c r="BF122" i="4" s="1"/>
  <c r="BE112" i="4"/>
  <c r="BF112" i="4" s="1"/>
  <c r="BE110" i="4"/>
  <c r="BF110" i="4" s="1"/>
  <c r="BE108" i="4"/>
  <c r="BF108" i="4" s="1"/>
  <c r="BE106" i="4"/>
  <c r="BF106" i="4" s="1"/>
  <c r="BE104" i="4"/>
  <c r="BF104" i="4" s="1"/>
  <c r="BE102" i="4"/>
  <c r="BF102" i="4" s="1"/>
  <c r="BE100" i="4"/>
  <c r="BF100" i="4" s="1"/>
  <c r="BE98" i="4"/>
  <c r="BF98" i="4" s="1"/>
  <c r="BE96" i="4"/>
  <c r="BF96" i="4" s="1"/>
  <c r="BE94" i="4"/>
  <c r="BF94" i="4" s="1"/>
  <c r="BE92" i="4"/>
  <c r="BF92" i="4" s="1"/>
  <c r="BE90" i="4"/>
  <c r="BF90" i="4" s="1"/>
  <c r="BE88" i="4"/>
  <c r="BF88" i="4" s="1"/>
  <c r="BE87" i="4"/>
  <c r="BF87" i="4" s="1"/>
  <c r="BE86" i="4"/>
  <c r="BF86" i="4" s="1"/>
  <c r="BE81" i="4"/>
  <c r="BF81" i="4" s="1"/>
  <c r="BE75" i="4"/>
  <c r="BF75" i="4" s="1"/>
  <c r="BE74" i="4"/>
  <c r="BF74" i="4" s="1"/>
  <c r="BE67" i="4"/>
  <c r="BF67" i="4" s="1"/>
  <c r="BE66" i="4"/>
  <c r="BF66" i="4" s="1"/>
  <c r="BE65" i="4"/>
  <c r="BF65" i="4" s="1"/>
  <c r="BE33" i="4"/>
  <c r="BF33" i="4" s="1"/>
  <c r="BE26" i="4"/>
  <c r="BF26" i="4" s="1"/>
  <c r="BE25" i="4"/>
  <c r="BF25" i="4" s="1"/>
  <c r="BE20" i="4"/>
  <c r="BF20" i="4" s="1"/>
  <c r="BE15" i="4"/>
  <c r="BF15" i="4" s="1"/>
  <c r="BE13" i="4"/>
  <c r="BF13" i="4" s="1"/>
  <c r="BE9" i="4"/>
  <c r="BF9" i="4" s="1"/>
  <c r="BE124" i="4"/>
  <c r="BF124" i="4" s="1"/>
  <c r="BE123" i="4"/>
  <c r="BF123" i="4" s="1"/>
  <c r="BE117" i="4"/>
  <c r="BF117" i="4" s="1"/>
  <c r="BE116" i="4"/>
  <c r="BF116" i="4" s="1"/>
  <c r="BE115" i="4"/>
  <c r="BF115" i="4" s="1"/>
  <c r="BE78" i="4"/>
  <c r="BF78" i="4" s="1"/>
  <c r="BE71" i="4"/>
  <c r="BF71" i="4" s="1"/>
  <c r="BE70" i="4"/>
  <c r="BF70" i="4" s="1"/>
  <c r="BE32" i="4"/>
  <c r="BF32" i="4" s="1"/>
  <c r="BE23" i="4"/>
  <c r="BF23" i="4" s="1"/>
  <c r="BE22" i="4"/>
  <c r="BF22" i="4" s="1"/>
  <c r="BE17" i="4"/>
  <c r="BF17" i="4" s="1"/>
  <c r="BE12" i="4"/>
  <c r="BF12" i="4" s="1"/>
  <c r="AA9" i="5"/>
  <c r="AA11" i="5"/>
  <c r="AQ90" i="5"/>
  <c r="AA14" i="5"/>
  <c r="BE30" i="4"/>
  <c r="BF30" i="4" s="1"/>
  <c r="BE28" i="4"/>
  <c r="BF28" i="4" s="1"/>
  <c r="AR90" i="5"/>
  <c r="AI90" i="5"/>
  <c r="A90" i="5"/>
  <c r="T90" i="5"/>
  <c r="Z90" i="5" s="1"/>
  <c r="AA90" i="5" s="1"/>
  <c r="BC90" i="5"/>
  <c r="BB8" i="5"/>
  <c r="BE8" i="5" s="1"/>
  <c r="BF8" i="5" s="1"/>
  <c r="AA8" i="5"/>
  <c r="BB12" i="5"/>
  <c r="BE12" i="5" s="1"/>
  <c r="BF12" i="5" s="1"/>
  <c r="AA12" i="5"/>
  <c r="R127" i="4"/>
  <c r="S127" i="4"/>
  <c r="U127" i="4"/>
  <c r="BB90" i="5" l="1"/>
  <c r="BE90" i="5"/>
  <c r="BC125" i="4"/>
  <c r="AP125" i="4"/>
  <c r="AQ125" i="4" s="1"/>
  <c r="AR125" i="4" s="1"/>
  <c r="AI125" i="4"/>
  <c r="T125" i="4"/>
  <c r="Z125" i="4" s="1"/>
  <c r="AA125" i="4" s="1"/>
  <c r="A125" i="4"/>
  <c r="BF90" i="5" l="1"/>
  <c r="BB125" i="4"/>
  <c r="BE125" i="4" s="1"/>
  <c r="BF125" i="4" s="1"/>
  <c r="A126" i="4" l="1"/>
  <c r="BC126" i="4" l="1"/>
  <c r="T126" i="4" l="1"/>
  <c r="BB126" i="4" s="1"/>
  <c r="BE126" i="4" s="1"/>
  <c r="BF126" i="4" s="1"/>
  <c r="AT127" i="4" l="1"/>
  <c r="AY127" i="4" l="1"/>
  <c r="AX127" i="4"/>
  <c r="AW127" i="4"/>
  <c r="AV127" i="4"/>
  <c r="AU127" i="4"/>
  <c r="AS127" i="4"/>
  <c r="AH127" i="4"/>
  <c r="AG127" i="4"/>
  <c r="AF127" i="4"/>
  <c r="Y127" i="4"/>
  <c r="W127" i="4"/>
  <c r="V127" i="4"/>
  <c r="A127" i="4"/>
  <c r="AP126" i="4"/>
  <c r="AQ126" i="4" s="1"/>
  <c r="AR126" i="4" s="1"/>
  <c r="AI126" i="4"/>
  <c r="BC127" i="4"/>
  <c r="BD127" i="4" l="1"/>
  <c r="X127" i="4"/>
  <c r="B127" i="4"/>
  <c r="Z126" i="4"/>
  <c r="AI127" i="4"/>
  <c r="AR127" i="4"/>
  <c r="AQ127" i="4"/>
  <c r="T127" i="4"/>
  <c r="BE127" i="4" l="1"/>
  <c r="AA126" i="4"/>
  <c r="BB127" i="4"/>
  <c r="Z127" i="4"/>
  <c r="AA127" i="4" s="1"/>
  <c r="BF127" i="4" l="1"/>
</calcChain>
</file>

<file path=xl/sharedStrings.xml><?xml version="1.0" encoding="utf-8"?>
<sst xmlns="http://schemas.openxmlformats.org/spreadsheetml/2006/main" count="1126" uniqueCount="75">
  <si>
    <t>sl.no.</t>
  </si>
  <si>
    <t>Loading date</t>
  </si>
  <si>
    <t>Coal Com.</t>
  </si>
  <si>
    <t>Siding Name</t>
  </si>
  <si>
    <t>Box Type</t>
  </si>
  <si>
    <t xml:space="preserve">Supplied Box </t>
  </si>
  <si>
    <t>Sick Wagon</t>
  </si>
  <si>
    <t>Ld W.B Location</t>
  </si>
  <si>
    <t>RR No</t>
  </si>
  <si>
    <t>RR Date</t>
  </si>
  <si>
    <t>Rake Reciept Date</t>
  </si>
  <si>
    <t>Wt Bridge No.</t>
  </si>
  <si>
    <t>Wagon Received</t>
  </si>
  <si>
    <t>RR Gross</t>
  </si>
  <si>
    <t>RR Tare</t>
  </si>
  <si>
    <t>Shortage</t>
  </si>
  <si>
    <t>% Shortage</t>
  </si>
  <si>
    <t>Pol Qty</t>
  </si>
  <si>
    <t>Pol 1</t>
  </si>
  <si>
    <t>Pol 2</t>
  </si>
  <si>
    <t>Total Pol</t>
  </si>
  <si>
    <t>Firm Uld Qty</t>
  </si>
  <si>
    <t>Base freight</t>
  </si>
  <si>
    <t>Firm Uld Amt.</t>
  </si>
  <si>
    <t>Arrival time</t>
  </si>
  <si>
    <t>Placement Time</t>
  </si>
  <si>
    <t>Completed time</t>
  </si>
  <si>
    <t>Total Unloding Time</t>
  </si>
  <si>
    <t>Dc Hr</t>
  </si>
  <si>
    <t>Dc Amt</t>
  </si>
  <si>
    <t>TC</t>
  </si>
  <si>
    <t>PCLA</t>
  </si>
  <si>
    <t>POLA</t>
  </si>
  <si>
    <t>ENHC</t>
  </si>
  <si>
    <t>FAOC charges</t>
  </si>
  <si>
    <t>FAUC Charges</t>
  </si>
  <si>
    <t>RR WT.</t>
  </si>
  <si>
    <t>CC WT.</t>
  </si>
  <si>
    <t>plant Gross weight</t>
  </si>
  <si>
    <t>Plant Tare Weight</t>
  </si>
  <si>
    <t>Plant Net weight</t>
  </si>
  <si>
    <t>F-note No.</t>
  </si>
  <si>
    <t>Plant Rake No.</t>
  </si>
  <si>
    <t>Remarks If Any</t>
  </si>
  <si>
    <t>Unloaded Plant</t>
  </si>
  <si>
    <t>GRN Qty</t>
  </si>
  <si>
    <t>Siding No.</t>
  </si>
  <si>
    <t>Coal Bill Wt.</t>
  </si>
  <si>
    <t>Uld Credit Qty.</t>
  </si>
  <si>
    <t>Accepted Plant Net Weight</t>
  </si>
  <si>
    <t>%</t>
  </si>
  <si>
    <t>DCLA</t>
  </si>
  <si>
    <t>Shortage As per coal bill</t>
  </si>
  <si>
    <t>PL WT</t>
  </si>
  <si>
    <t>1st Wt.</t>
  </si>
  <si>
    <t>Acc Pl Net Weight</t>
  </si>
  <si>
    <t>RR/1ST/CB WT.</t>
  </si>
  <si>
    <t>CB Wt.</t>
  </si>
  <si>
    <t>RR Wt.</t>
  </si>
  <si>
    <t>BOXNHL</t>
  </si>
  <si>
    <t>PPGS</t>
  </si>
  <si>
    <t>NCL</t>
  </si>
  <si>
    <t>DCSN</t>
  </si>
  <si>
    <t>JNCS</t>
  </si>
  <si>
    <t>KSCK</t>
  </si>
  <si>
    <t>SSMN</t>
  </si>
  <si>
    <t>GCNM</t>
  </si>
  <si>
    <t>SGRL</t>
  </si>
  <si>
    <t>DSNS</t>
  </si>
  <si>
    <t>BOXNS</t>
  </si>
  <si>
    <t>KRLR</t>
  </si>
  <si>
    <t>KCSK</t>
  </si>
  <si>
    <t>14-08-2026</t>
  </si>
  <si>
    <t>15-08-2026</t>
  </si>
  <si>
    <t>16-08-2026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</si>
</sst>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4" fontId="4" fillId="2" borderId="2" xfId="0" applyNumberFormat="1" applyFont="1" applyFill="1" applyBorder="1" applyAlignment="1">
      <alignment horizontal="center" vertical="center"/>
    </xf>
    <xf numFmtId="20" fontId="4" fillId="2" borderId="2" xfId="0" applyNumberFormat="1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8" xfId="0" applyFont="1" applyFill="1" applyBorder="1"/>
    <xf numFmtId="0" fontId="2" fillId="3" borderId="9" xfId="0" applyFont="1" applyFill="1" applyBorder="1"/>
    <xf numFmtId="14" fontId="2" fillId="3" borderId="9" xfId="0" applyNumberFormat="1" applyFont="1" applyFill="1" applyBorder="1"/>
    <xf numFmtId="43" fontId="2" fillId="3" borderId="9" xfId="1" applyFont="1" applyFill="1" applyBorder="1"/>
    <xf numFmtId="10" fontId="2" fillId="3" borderId="9" xfId="2" applyNumberFormat="1" applyFont="1" applyFill="1" applyBorder="1"/>
    <xf numFmtId="0" fontId="0" fillId="3" borderId="9" xfId="0" applyFill="1" applyBorder="1"/>
    <xf numFmtId="20" fontId="2" fillId="3" borderId="9" xfId="1" applyNumberFormat="1" applyFont="1" applyFill="1" applyBorder="1"/>
    <xf numFmtId="20" fontId="0" fillId="3" borderId="9" xfId="0" applyNumberFormat="1" applyFill="1" applyBorder="1"/>
    <xf numFmtId="3" fontId="0" fillId="3" borderId="9" xfId="0" applyNumberFormat="1" applyFill="1" applyBorder="1"/>
    <xf numFmtId="164" fontId="2" fillId="3" borderId="9" xfId="1" applyNumberFormat="1" applyFont="1" applyFill="1" applyBorder="1"/>
    <xf numFmtId="0" fontId="2" fillId="3" borderId="10" xfId="0" applyFont="1" applyFill="1" applyBorder="1"/>
    <xf numFmtId="0" fontId="3" fillId="0" borderId="0" xfId="0" applyFont="1"/>
    <xf numFmtId="0" fontId="5" fillId="0" borderId="6" xfId="0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43" fontId="3" fillId="0" borderId="4" xfId="1" applyFont="1" applyBorder="1" applyAlignment="1">
      <alignment horizontal="center" vertical="center" wrapText="1"/>
    </xf>
    <xf numFmtId="10" fontId="3" fillId="0" borderId="4" xfId="2" applyNumberFormat="1" applyFont="1" applyBorder="1" applyAlignment="1">
      <alignment horizontal="center" vertical="center" wrapText="1"/>
    </xf>
    <xf numFmtId="2" fontId="3" fillId="0" borderId="4" xfId="1" applyNumberFormat="1" applyFont="1" applyBorder="1" applyAlignment="1">
      <alignment horizontal="center" vertical="center" wrapText="1"/>
    </xf>
    <xf numFmtId="2" fontId="3" fillId="0" borderId="4" xfId="2" applyNumberFormat="1" applyFont="1" applyBorder="1" applyAlignment="1">
      <alignment horizontal="center" vertical="center" wrapText="1"/>
    </xf>
    <xf numFmtId="0" fontId="3" fillId="0" borderId="4" xfId="0" applyFont="1" applyBorder="1"/>
    <xf numFmtId="20" fontId="3" fillId="0" borderId="4" xfId="0" applyNumberFormat="1" applyFont="1" applyBorder="1"/>
    <xf numFmtId="3" fontId="3" fillId="0" borderId="4" xfId="0" applyNumberFormat="1" applyFont="1" applyBorder="1"/>
    <xf numFmtId="0" fontId="3" fillId="0" borderId="7" xfId="0" applyFont="1" applyBorder="1"/>
    <xf numFmtId="14" fontId="5" fillId="0" borderId="4" xfId="0" applyNumberFormat="1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10" fontId="3" fillId="0" borderId="4" xfId="2" applyNumberFormat="1" applyFont="1" applyFill="1" applyBorder="1" applyAlignment="1">
      <alignment horizontal="center" vertical="center" wrapText="1"/>
    </xf>
    <xf numFmtId="0" fontId="3" fillId="0" borderId="4" xfId="2" applyNumberFormat="1" applyFont="1" applyBorder="1" applyAlignment="1">
      <alignment horizontal="center" vertical="center" wrapText="1"/>
    </xf>
    <xf numFmtId="0" fontId="2" fillId="3" borderId="9" xfId="2" applyNumberFormat="1" applyFont="1" applyFill="1" applyBorder="1"/>
    <xf numFmtId="0" fontId="2" fillId="3" borderId="4" xfId="0" applyFont="1" applyFill="1" applyBorder="1"/>
    <xf numFmtId="10" fontId="2" fillId="3" borderId="4" xfId="2" applyNumberFormat="1" applyFont="1" applyFill="1" applyBorder="1"/>
    <xf numFmtId="0" fontId="4" fillId="2" borderId="4" xfId="0" applyFont="1" applyFill="1" applyBorder="1" applyAlignment="1">
      <alignment horizontal="center" vertical="center" wrapText="1"/>
    </xf>
    <xf numFmtId="43" fontId="3" fillId="0" borderId="4" xfId="0" applyNumberFormat="1" applyFont="1" applyBorder="1"/>
    <xf numFmtId="43" fontId="3" fillId="0" borderId="4" xfId="1" applyFont="1" applyFill="1" applyBorder="1" applyAlignment="1">
      <alignment horizontal="center" vertical="center" wrapText="1"/>
    </xf>
    <xf numFmtId="0" fontId="2" fillId="0" borderId="11" xfId="0" applyFont="1" applyBorder="1"/>
    <xf numFmtId="0" fontId="2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  <xf numFmtId="1" fontId="5" fillId="0" borderId="4" xfId="0" applyNumberFormat="1" applyFont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14" fontId="5" fillId="4" borderId="5" xfId="0" applyNumberFormat="1" applyFont="1" applyFill="1" applyBorder="1" applyAlignment="1">
      <alignment horizontal="center" vertical="center"/>
    </xf>
    <xf numFmtId="14" fontId="6" fillId="4" borderId="4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4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14" fontId="3" fillId="4" borderId="4" xfId="0" applyNumberFormat="1" applyFont="1" applyFill="1" applyBorder="1" applyAlignment="1">
      <alignment horizontal="center" vertical="center"/>
    </xf>
    <xf numFmtId="14" fontId="5" fillId="4" borderId="4" xfId="0" applyNumberFormat="1" applyFont="1" applyFill="1" applyBorder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43" fontId="3" fillId="4" borderId="4" xfId="1" applyFont="1" applyFill="1" applyBorder="1" applyAlignment="1">
      <alignment horizontal="center" vertical="center" wrapText="1"/>
    </xf>
    <xf numFmtId="10" fontId="3" fillId="4" borderId="4" xfId="2" applyNumberFormat="1" applyFont="1" applyFill="1" applyBorder="1" applyAlignment="1">
      <alignment horizontal="center" vertical="center" wrapText="1"/>
    </xf>
    <xf numFmtId="0" fontId="3" fillId="4" borderId="4" xfId="2" applyNumberFormat="1" applyFont="1" applyFill="1" applyBorder="1" applyAlignment="1">
      <alignment horizontal="center" vertical="center" wrapText="1"/>
    </xf>
    <xf numFmtId="2" fontId="3" fillId="4" borderId="4" xfId="1" applyNumberFormat="1" applyFont="1" applyFill="1" applyBorder="1" applyAlignment="1">
      <alignment horizontal="center" vertical="center" wrapText="1"/>
    </xf>
    <xf numFmtId="2" fontId="3" fillId="4" borderId="4" xfId="2" applyNumberFormat="1" applyFont="1" applyFill="1" applyBorder="1" applyAlignment="1">
      <alignment horizontal="center" vertical="center" wrapText="1"/>
    </xf>
    <xf numFmtId="0" fontId="3" fillId="4" borderId="4" xfId="0" applyFont="1" applyFill="1" applyBorder="1"/>
    <xf numFmtId="20" fontId="3" fillId="4" borderId="4" xfId="0" applyNumberFormat="1" applyFont="1" applyFill="1" applyBorder="1"/>
    <xf numFmtId="3" fontId="3" fillId="4" borderId="4" xfId="0" applyNumberFormat="1" applyFont="1" applyFill="1" applyBorder="1"/>
    <xf numFmtId="0" fontId="3" fillId="4" borderId="7" xfId="0" applyFont="1" applyFill="1" applyBorder="1"/>
    <xf numFmtId="0" fontId="3" fillId="0" borderId="4" xfId="2" applyNumberFormat="1" applyFont="1" applyFill="1" applyBorder="1" applyAlignment="1">
      <alignment horizontal="center" vertical="center" wrapText="1"/>
    </xf>
    <xf numFmtId="2" fontId="3" fillId="0" borderId="4" xfId="1" applyNumberFormat="1" applyFont="1" applyFill="1" applyBorder="1" applyAlignment="1">
      <alignment horizontal="center" vertical="center" wrapText="1"/>
    </xf>
    <xf numFmtId="2" fontId="3" fillId="0" borderId="4" xfId="2" applyNumberFormat="1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/>
    </xf>
    <xf numFmtId="14" fontId="5" fillId="0" borderId="5" xfId="0" applyNumberFormat="1" applyFont="1" applyFill="1" applyBorder="1" applyAlignment="1">
      <alignment horizontal="center" vertical="center"/>
    </xf>
    <xf numFmtId="14" fontId="6" fillId="0" borderId="4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4" fontId="5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14" fontId="3" fillId="0" borderId="4" xfId="0" applyNumberFormat="1" applyFont="1" applyFill="1" applyBorder="1" applyAlignment="1">
      <alignment horizontal="center" vertical="center"/>
    </xf>
    <xf numFmtId="14" fontId="5" fillId="0" borderId="4" xfId="0" applyNumberFormat="1" applyFont="1" applyFill="1" applyBorder="1" applyAlignment="1">
      <alignment horizontal="center" vertical="center"/>
    </xf>
    <xf numFmtId="1" fontId="5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/>
    <xf numFmtId="20" fontId="3" fillId="0" borderId="4" xfId="0" applyNumberFormat="1" applyFont="1" applyFill="1" applyBorder="1"/>
    <xf numFmtId="3" fontId="3" fillId="0" borderId="4" xfId="0" applyNumberFormat="1" applyFont="1" applyFill="1" applyBorder="1"/>
    <xf numFmtId="0" fontId="3" fillId="0" borderId="7" xfId="0" applyFont="1" applyFill="1" applyBorder="1"/>
    <xf numFmtId="0" fontId="3" fillId="0" borderId="0" xfId="0" applyFont="1" applyFill="1"/>
    <xf numFmtId="43" fontId="3" fillId="0" borderId="4" xfId="0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101"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D1292-09B2-4687-83DA-1E8FF3F368F6}">
  <dimension ref="A1:BF127"/>
  <sheetViews>
    <sheetView workbookViewId="0">
      <pane xSplit="11" ySplit="5" topLeftCell="L6" activePane="bottomRight" state="frozen"/>
      <selection pane="topRight" activeCell="L1" sqref="L1"/>
      <selection pane="bottomLeft" activeCell="A3" sqref="A3"/>
      <selection pane="bottomRight" activeCell="M5" sqref="M5"/>
    </sheetView>
  </sheetViews>
  <sheetFormatPr defaultRowHeight="15" x14ac:dyDescent="0.25"/>
  <cols>
    <col min="1" max="1" width="6.42578125" bestFit="1" customWidth="1"/>
    <col min="2" max="2" width="14.28515625" customWidth="1"/>
    <col min="3" max="3" width="11" customWidth="1"/>
    <col min="4" max="4" width="11" hidden="1" customWidth="1"/>
    <col min="5" max="5" width="10.5703125" bestFit="1" customWidth="1"/>
    <col min="6" max="6" width="11.28515625" customWidth="1"/>
    <col min="7" max="7" width="9.42578125" bestFit="1" customWidth="1"/>
    <col min="8" max="8" width="9.28515625" bestFit="1" customWidth="1"/>
    <col min="9" max="9" width="8.140625" bestFit="1" customWidth="1"/>
    <col min="11" max="11" width="10" bestFit="1" customWidth="1"/>
    <col min="12" max="12" width="10.42578125" customWidth="1"/>
    <col min="13" max="14" width="11" customWidth="1"/>
    <col min="15" max="15" width="7.28515625" hidden="1" customWidth="1"/>
    <col min="16" max="17" width="9.28515625" hidden="1" customWidth="1"/>
    <col min="18" max="18" width="9.28515625" customWidth="1"/>
    <col min="19" max="19" width="9" customWidth="1"/>
    <col min="20" max="20" width="12.42578125" customWidth="1"/>
    <col min="21" max="23" width="9" customWidth="1"/>
    <col min="24" max="24" width="12.42578125" customWidth="1"/>
    <col min="25" max="25" width="9" hidden="1" customWidth="1"/>
    <col min="26" max="26" width="9.85546875" customWidth="1"/>
    <col min="27" max="29" width="10.28515625" customWidth="1"/>
    <col min="30" max="31" width="10.28515625" hidden="1" customWidth="1"/>
    <col min="32" max="32" width="8" hidden="1" customWidth="1"/>
    <col min="33" max="33" width="9" hidden="1" customWidth="1"/>
    <col min="34" max="34" width="8.42578125" hidden="1" customWidth="1"/>
    <col min="35" max="35" width="9.42578125" hidden="1" customWidth="1"/>
    <col min="36" max="36" width="9.140625" hidden="1" customWidth="1"/>
    <col min="37" max="37" width="7.5703125" hidden="1" customWidth="1"/>
    <col min="38" max="38" width="9.140625" hidden="1" customWidth="1"/>
    <col min="39" max="39" width="7.5703125" hidden="1" customWidth="1"/>
    <col min="40" max="40" width="10.7109375" hidden="1" customWidth="1"/>
    <col min="41" max="41" width="11.42578125" hidden="1" customWidth="1"/>
    <col min="42" max="42" width="10.7109375" hidden="1" customWidth="1"/>
    <col min="43" max="43" width="6.140625" hidden="1" customWidth="1"/>
    <col min="44" max="44" width="7.85546875" hidden="1" customWidth="1"/>
    <col min="45" max="45" width="3.7109375" hidden="1" customWidth="1"/>
    <col min="46" max="47" width="7.5703125" hidden="1" customWidth="1"/>
    <col min="48" max="48" width="7.42578125" hidden="1" customWidth="1"/>
    <col min="49" max="49" width="7.140625" hidden="1" customWidth="1"/>
    <col min="50" max="50" width="8.42578125" hidden="1" customWidth="1"/>
    <col min="51" max="51" width="8.7109375" hidden="1" customWidth="1"/>
    <col min="53" max="53" width="1.42578125" customWidth="1"/>
    <col min="56" max="56" width="9.140625" hidden="1" customWidth="1"/>
  </cols>
  <sheetData>
    <row r="1" spans="1:58" x14ac:dyDescent="0.25">
      <c r="A1" s="48"/>
      <c r="BB1" s="49"/>
      <c r="BC1" t="s">
        <v>58</v>
      </c>
    </row>
    <row r="2" spans="1:58" x14ac:dyDescent="0.25">
      <c r="A2" s="48"/>
      <c r="BB2" s="50"/>
      <c r="BC2" t="s">
        <v>54</v>
      </c>
    </row>
    <row r="3" spans="1:58" x14ac:dyDescent="0.25">
      <c r="A3" s="48"/>
      <c r="BB3" s="51"/>
      <c r="BC3" t="s">
        <v>57</v>
      </c>
    </row>
    <row r="4" spans="1:58" ht="15.75" thickBot="1" x14ac:dyDescent="0.3">
      <c r="A4" s="47"/>
    </row>
    <row r="5" spans="1:58" s="1" customFormat="1" ht="39" thickBot="1" x14ac:dyDescent="0.25">
      <c r="A5" s="2" t="s">
        <v>0</v>
      </c>
      <c r="B5" s="3" t="s">
        <v>44</v>
      </c>
      <c r="C5" s="3" t="s">
        <v>2</v>
      </c>
      <c r="D5" s="3" t="s">
        <v>46</v>
      </c>
      <c r="E5" s="4" t="s">
        <v>3</v>
      </c>
      <c r="F5" s="4" t="s">
        <v>1</v>
      </c>
      <c r="G5" s="4" t="s">
        <v>4</v>
      </c>
      <c r="H5" s="4" t="s">
        <v>5</v>
      </c>
      <c r="I5" s="4" t="s">
        <v>6</v>
      </c>
      <c r="J5" s="4" t="s">
        <v>7</v>
      </c>
      <c r="K5" s="3" t="s">
        <v>8</v>
      </c>
      <c r="L5" s="5" t="s">
        <v>9</v>
      </c>
      <c r="M5" s="4" t="s">
        <v>10</v>
      </c>
      <c r="N5" s="4" t="s">
        <v>42</v>
      </c>
      <c r="O5" s="4" t="s">
        <v>11</v>
      </c>
      <c r="P5" s="4" t="s">
        <v>12</v>
      </c>
      <c r="Q5" s="4" t="s">
        <v>41</v>
      </c>
      <c r="R5" s="4" t="s">
        <v>13</v>
      </c>
      <c r="S5" s="4" t="s">
        <v>14</v>
      </c>
      <c r="T5" s="4" t="s">
        <v>36</v>
      </c>
      <c r="U5" s="4" t="s">
        <v>37</v>
      </c>
      <c r="V5" s="4" t="s">
        <v>38</v>
      </c>
      <c r="W5" s="4" t="s">
        <v>39</v>
      </c>
      <c r="X5" s="4" t="s">
        <v>40</v>
      </c>
      <c r="Y5" s="4" t="s">
        <v>49</v>
      </c>
      <c r="Z5" s="4" t="s">
        <v>15</v>
      </c>
      <c r="AA5" s="4" t="s">
        <v>16</v>
      </c>
      <c r="AB5" s="4" t="s">
        <v>54</v>
      </c>
      <c r="AC5" s="4" t="s">
        <v>47</v>
      </c>
      <c r="AD5" s="4" t="s">
        <v>48</v>
      </c>
      <c r="AE5" s="4" t="s">
        <v>45</v>
      </c>
      <c r="AF5" s="4" t="s">
        <v>17</v>
      </c>
      <c r="AG5" s="4" t="s">
        <v>18</v>
      </c>
      <c r="AH5" s="4" t="s">
        <v>19</v>
      </c>
      <c r="AI5" s="4" t="s">
        <v>20</v>
      </c>
      <c r="AJ5" s="4" t="s">
        <v>21</v>
      </c>
      <c r="AK5" s="4" t="s">
        <v>22</v>
      </c>
      <c r="AL5" s="4" t="s">
        <v>23</v>
      </c>
      <c r="AM5" s="6" t="s">
        <v>24</v>
      </c>
      <c r="AN5" s="6" t="s">
        <v>25</v>
      </c>
      <c r="AO5" s="6" t="s">
        <v>26</v>
      </c>
      <c r="AP5" s="7" t="s">
        <v>27</v>
      </c>
      <c r="AQ5" s="4" t="s">
        <v>28</v>
      </c>
      <c r="AR5" s="4" t="s">
        <v>29</v>
      </c>
      <c r="AS5" s="4" t="s">
        <v>30</v>
      </c>
      <c r="AT5" s="4" t="s">
        <v>51</v>
      </c>
      <c r="AU5" s="4" t="s">
        <v>31</v>
      </c>
      <c r="AV5" s="4" t="s">
        <v>32</v>
      </c>
      <c r="AW5" s="4" t="s">
        <v>33</v>
      </c>
      <c r="AX5" s="4" t="s">
        <v>34</v>
      </c>
      <c r="AY5" s="4" t="s">
        <v>35</v>
      </c>
      <c r="AZ5" s="8" t="s">
        <v>43</v>
      </c>
      <c r="BB5" s="44" t="s">
        <v>56</v>
      </c>
      <c r="BC5" s="44" t="s">
        <v>53</v>
      </c>
      <c r="BD5" s="4" t="s">
        <v>55</v>
      </c>
      <c r="BE5" s="44" t="s">
        <v>52</v>
      </c>
      <c r="BF5" s="44" t="s">
        <v>50</v>
      </c>
    </row>
    <row r="6" spans="1:58" s="20" customFormat="1" ht="12.75" x14ac:dyDescent="0.2">
      <c r="A6" s="21">
        <f>IF(ISBLANK(F6),"",COUNTA($F$6:F6))</f>
        <v>1</v>
      </c>
      <c r="B6" s="37" t="s">
        <v>60</v>
      </c>
      <c r="C6" s="37" t="s">
        <v>61</v>
      </c>
      <c r="D6" s="22"/>
      <c r="E6" s="23" t="s">
        <v>62</v>
      </c>
      <c r="F6" s="36">
        <v>46204</v>
      </c>
      <c r="G6" s="24" t="s">
        <v>59</v>
      </c>
      <c r="H6" s="24">
        <v>59</v>
      </c>
      <c r="I6" s="24">
        <v>1</v>
      </c>
      <c r="J6" s="24" t="s">
        <v>62</v>
      </c>
      <c r="K6" s="25">
        <v>162008401</v>
      </c>
      <c r="L6" s="26">
        <v>46204</v>
      </c>
      <c r="M6" s="38">
        <v>46206</v>
      </c>
      <c r="N6" s="52">
        <v>16308</v>
      </c>
      <c r="O6" s="27"/>
      <c r="P6" s="27"/>
      <c r="Q6" s="27"/>
      <c r="R6" s="46">
        <v>5234.8500000000004</v>
      </c>
      <c r="S6" s="46">
        <v>1207.9500000000003</v>
      </c>
      <c r="T6" s="46">
        <f t="shared" ref="T6:T75" si="0">+R6-S6</f>
        <v>4026.9</v>
      </c>
      <c r="U6" s="46">
        <v>4006.8</v>
      </c>
      <c r="V6" s="46">
        <v>5392.2</v>
      </c>
      <c r="W6" s="46">
        <v>1239.8</v>
      </c>
      <c r="X6" s="46">
        <v>4152.3999999999996</v>
      </c>
      <c r="Y6" s="46"/>
      <c r="Z6" s="46">
        <f t="shared" ref="Z6:Z37" si="1">+T6-X6</f>
        <v>-125.49999999999955</v>
      </c>
      <c r="AA6" s="39">
        <f t="shared" ref="AA6:AA37" si="2">Z6/T6</f>
        <v>-3.1165412600263117E-2</v>
      </c>
      <c r="AB6" s="73">
        <v>4043.22</v>
      </c>
      <c r="AC6" s="73"/>
      <c r="AD6" s="73"/>
      <c r="AE6" s="39"/>
      <c r="AF6" s="74"/>
      <c r="AG6" s="74"/>
      <c r="AH6" s="75"/>
      <c r="AI6" s="75">
        <f t="shared" ref="AI6:AI75" si="3">+AG6+AH6</f>
        <v>0</v>
      </c>
      <c r="AJ6" s="32"/>
      <c r="AK6" s="32"/>
      <c r="AL6" s="32"/>
      <c r="AM6" s="33"/>
      <c r="AN6" s="33"/>
      <c r="AO6" s="33"/>
      <c r="AP6" s="34">
        <f t="shared" ref="AP6:AP75" si="4">ROUNDUP((AO6-AM6+(AO6&lt;AM6))*24,0)</f>
        <v>0</v>
      </c>
      <c r="AQ6" s="32">
        <f t="shared" ref="AQ6:AQ75" si="5">IF(AP6&gt;5,(AP6-5),0)</f>
        <v>0</v>
      </c>
      <c r="AR6" s="32">
        <f t="shared" ref="AR6:AR75" si="6">+AQ6*8850</f>
        <v>0</v>
      </c>
      <c r="AS6" s="32"/>
      <c r="AT6" s="32"/>
      <c r="AU6" s="32"/>
      <c r="AV6" s="32"/>
      <c r="AW6" s="32"/>
      <c r="AX6" s="32"/>
      <c r="AY6" s="32"/>
      <c r="AZ6" s="35"/>
      <c r="BB6" s="45">
        <f t="shared" ref="BB6:BB37" si="7">IF(AND(AB6="",AC6=""),T6,IF(AC6="",AB6,AC6))</f>
        <v>4043.22</v>
      </c>
      <c r="BC6" s="45">
        <f t="shared" ref="BC6:BC37" si="8">+X6</f>
        <v>4152.3999999999996</v>
      </c>
      <c r="BD6" s="45"/>
      <c r="BE6" s="45">
        <f t="shared" ref="BE6" si="9">+BB6-BC6</f>
        <v>-109.17999999999984</v>
      </c>
      <c r="BF6" s="39">
        <f t="shared" ref="BF6" si="10">+BE6/BB6</f>
        <v>-2.7003230098782614E-2</v>
      </c>
    </row>
    <row r="7" spans="1:58" s="20" customFormat="1" ht="12.75" x14ac:dyDescent="0.2">
      <c r="A7" s="21">
        <f>IF(ISBLANK(F7),"",COUNTA($F$6:F7))</f>
        <v>2</v>
      </c>
      <c r="B7" s="37" t="s">
        <v>60</v>
      </c>
      <c r="C7" s="37" t="s">
        <v>61</v>
      </c>
      <c r="D7" s="22"/>
      <c r="E7" s="23" t="s">
        <v>63</v>
      </c>
      <c r="F7" s="36">
        <v>46204</v>
      </c>
      <c r="G7" s="24" t="s">
        <v>59</v>
      </c>
      <c r="H7" s="24">
        <v>57</v>
      </c>
      <c r="I7" s="24">
        <v>3</v>
      </c>
      <c r="J7" s="24" t="s">
        <v>63</v>
      </c>
      <c r="K7" s="25">
        <v>162006238</v>
      </c>
      <c r="L7" s="26">
        <v>46204</v>
      </c>
      <c r="M7" s="38">
        <v>46205</v>
      </c>
      <c r="N7" s="52">
        <v>16307</v>
      </c>
      <c r="O7" s="27"/>
      <c r="P7" s="27"/>
      <c r="Q7" s="27"/>
      <c r="R7" s="28">
        <v>4865.28</v>
      </c>
      <c r="S7" s="28">
        <v>1121.1799999999998</v>
      </c>
      <c r="T7" s="46">
        <f t="shared" ref="T7:T23" si="11">+R7-S7</f>
        <v>3744.1</v>
      </c>
      <c r="U7" s="28">
        <v>3742.8</v>
      </c>
      <c r="V7" s="28"/>
      <c r="W7" s="28"/>
      <c r="X7" s="28">
        <v>3734.8</v>
      </c>
      <c r="Y7" s="28"/>
      <c r="Z7" s="28">
        <f t="shared" si="1"/>
        <v>9.2999999999997272</v>
      </c>
      <c r="AA7" s="29">
        <f t="shared" si="2"/>
        <v>2.4839080152772967E-3</v>
      </c>
      <c r="AB7" s="40">
        <v>3744.05</v>
      </c>
      <c r="AC7" s="40"/>
      <c r="AD7" s="40"/>
      <c r="AE7" s="29"/>
      <c r="AF7" s="30"/>
      <c r="AG7" s="30"/>
      <c r="AH7" s="31"/>
      <c r="AI7" s="31">
        <f t="shared" ref="AI7:AI23" si="12">+AG7+AH7</f>
        <v>0</v>
      </c>
      <c r="AJ7" s="32"/>
      <c r="AK7" s="32"/>
      <c r="AL7" s="32"/>
      <c r="AM7" s="33"/>
      <c r="AN7" s="33"/>
      <c r="AO7" s="33"/>
      <c r="AP7" s="34">
        <f t="shared" ref="AP7:AP23" si="13">ROUNDUP((AO7-AM7+(AO7&lt;AM7))*24,0)</f>
        <v>0</v>
      </c>
      <c r="AQ7" s="32">
        <f t="shared" ref="AQ7:AQ23" si="14">IF(AP7&gt;5,(AP7-5),0)</f>
        <v>0</v>
      </c>
      <c r="AR7" s="32">
        <f t="shared" ref="AR7:AR23" si="15">+AQ7*8850</f>
        <v>0</v>
      </c>
      <c r="AS7" s="32"/>
      <c r="AT7" s="32"/>
      <c r="AU7" s="32"/>
      <c r="AV7" s="32"/>
      <c r="AW7" s="32"/>
      <c r="AX7" s="32"/>
      <c r="AY7" s="32"/>
      <c r="AZ7" s="35"/>
      <c r="BB7" s="45">
        <f t="shared" si="7"/>
        <v>3744.05</v>
      </c>
      <c r="BC7" s="45">
        <f t="shared" si="8"/>
        <v>3734.8</v>
      </c>
      <c r="BD7" s="45"/>
      <c r="BE7" s="45">
        <f t="shared" ref="BE7:BE126" si="16">+BB7-BC7</f>
        <v>9.25</v>
      </c>
      <c r="BF7" s="39">
        <f t="shared" ref="BF7:BF126" si="17">+BE7/BB7</f>
        <v>2.4705866641738222E-3</v>
      </c>
    </row>
    <row r="8" spans="1:58" s="20" customFormat="1" ht="12.75" x14ac:dyDescent="0.2">
      <c r="A8" s="21">
        <f>IF(ISBLANK(F8),"",COUNTA($F$6:F8))</f>
        <v>3</v>
      </c>
      <c r="B8" s="37" t="s">
        <v>60</v>
      </c>
      <c r="C8" s="37" t="s">
        <v>61</v>
      </c>
      <c r="D8" s="22"/>
      <c r="E8" s="23" t="s">
        <v>64</v>
      </c>
      <c r="F8" s="36">
        <v>46204</v>
      </c>
      <c r="G8" s="24" t="s">
        <v>59</v>
      </c>
      <c r="H8" s="24">
        <v>57</v>
      </c>
      <c r="I8" s="24">
        <v>0</v>
      </c>
      <c r="J8" s="24" t="s">
        <v>64</v>
      </c>
      <c r="K8" s="25">
        <v>162004307</v>
      </c>
      <c r="L8" s="26">
        <v>46204</v>
      </c>
      <c r="M8" s="38">
        <v>46206</v>
      </c>
      <c r="N8" s="52">
        <v>16311</v>
      </c>
      <c r="O8" s="27"/>
      <c r="P8" s="27"/>
      <c r="Q8" s="27"/>
      <c r="R8" s="28">
        <v>5080.97</v>
      </c>
      <c r="S8" s="28">
        <v>1209.7700000000004</v>
      </c>
      <c r="T8" s="46">
        <f t="shared" ref="T8:T10" si="18">+R8-S8</f>
        <v>3871.2</v>
      </c>
      <c r="U8" s="28">
        <v>3904</v>
      </c>
      <c r="V8" s="28"/>
      <c r="W8" s="28"/>
      <c r="X8" s="28">
        <v>3834</v>
      </c>
      <c r="Y8" s="28"/>
      <c r="Z8" s="28">
        <f t="shared" si="1"/>
        <v>37.199999999999818</v>
      </c>
      <c r="AA8" s="29">
        <f t="shared" si="2"/>
        <v>9.6094234345938771E-3</v>
      </c>
      <c r="AB8" s="40">
        <v>3871.15</v>
      </c>
      <c r="AC8" s="40"/>
      <c r="AD8" s="40"/>
      <c r="AE8" s="29"/>
      <c r="AF8" s="30"/>
      <c r="AG8" s="30"/>
      <c r="AH8" s="31"/>
      <c r="AI8" s="31">
        <f t="shared" ref="AI8:AI10" si="19">+AG8+AH8</f>
        <v>0</v>
      </c>
      <c r="AJ8" s="32"/>
      <c r="AK8" s="32"/>
      <c r="AL8" s="32"/>
      <c r="AM8" s="33"/>
      <c r="AN8" s="33"/>
      <c r="AO8" s="33"/>
      <c r="AP8" s="34">
        <f t="shared" ref="AP8:AP10" si="20">ROUNDUP((AO8-AM8+(AO8&lt;AM8))*24,0)</f>
        <v>0</v>
      </c>
      <c r="AQ8" s="32">
        <f t="shared" ref="AQ8:AQ10" si="21">IF(AP8&gt;5,(AP8-5),0)</f>
        <v>0</v>
      </c>
      <c r="AR8" s="32">
        <f t="shared" ref="AR8:AR10" si="22">+AQ8*8850</f>
        <v>0</v>
      </c>
      <c r="AS8" s="32"/>
      <c r="AT8" s="32"/>
      <c r="AU8" s="32"/>
      <c r="AV8" s="32"/>
      <c r="AW8" s="32"/>
      <c r="AX8" s="32"/>
      <c r="AY8" s="32"/>
      <c r="AZ8" s="35"/>
      <c r="BB8" s="45">
        <f t="shared" si="7"/>
        <v>3871.15</v>
      </c>
      <c r="BC8" s="45">
        <f t="shared" si="8"/>
        <v>3834</v>
      </c>
      <c r="BD8" s="45"/>
      <c r="BE8" s="45">
        <f t="shared" si="16"/>
        <v>37.150000000000091</v>
      </c>
      <c r="BF8" s="39">
        <f t="shared" si="17"/>
        <v>9.5966314919339445E-3</v>
      </c>
    </row>
    <row r="9" spans="1:58" s="20" customFormat="1" ht="12.75" x14ac:dyDescent="0.2">
      <c r="A9" s="21">
        <f>IF(ISBLANK(F9),"",COUNTA($F$6:F9))</f>
        <v>4</v>
      </c>
      <c r="B9" s="37" t="s">
        <v>60</v>
      </c>
      <c r="C9" s="37" t="s">
        <v>61</v>
      </c>
      <c r="D9" s="22"/>
      <c r="E9" s="23" t="s">
        <v>65</v>
      </c>
      <c r="F9" s="36">
        <v>46204</v>
      </c>
      <c r="G9" s="24" t="s">
        <v>59</v>
      </c>
      <c r="H9" s="24">
        <v>58</v>
      </c>
      <c r="I9" s="24">
        <v>1</v>
      </c>
      <c r="J9" s="24" t="s">
        <v>67</v>
      </c>
      <c r="K9" s="25">
        <v>162011605</v>
      </c>
      <c r="L9" s="26">
        <v>46204</v>
      </c>
      <c r="M9" s="38">
        <v>46206</v>
      </c>
      <c r="N9" s="52">
        <v>16309</v>
      </c>
      <c r="O9" s="27"/>
      <c r="P9" s="27"/>
      <c r="Q9" s="27"/>
      <c r="R9" s="28">
        <v>5084.6000000000004</v>
      </c>
      <c r="S9" s="28">
        <v>1207.4000000000005</v>
      </c>
      <c r="T9" s="46">
        <f t="shared" si="18"/>
        <v>3877.2</v>
      </c>
      <c r="U9" s="28">
        <v>3946</v>
      </c>
      <c r="V9" s="28"/>
      <c r="W9" s="28"/>
      <c r="X9" s="28">
        <v>3802.2</v>
      </c>
      <c r="Y9" s="28"/>
      <c r="Z9" s="28">
        <f t="shared" si="1"/>
        <v>75</v>
      </c>
      <c r="AA9" s="29">
        <f t="shared" si="2"/>
        <v>1.9343856391210154E-2</v>
      </c>
      <c r="AB9" s="40">
        <v>3880.12</v>
      </c>
      <c r="AC9" s="40"/>
      <c r="AD9" s="40"/>
      <c r="AE9" s="29"/>
      <c r="AF9" s="30"/>
      <c r="AG9" s="30"/>
      <c r="AH9" s="31"/>
      <c r="AI9" s="31">
        <f t="shared" si="19"/>
        <v>0</v>
      </c>
      <c r="AJ9" s="32"/>
      <c r="AK9" s="32"/>
      <c r="AL9" s="32"/>
      <c r="AM9" s="33"/>
      <c r="AN9" s="33"/>
      <c r="AO9" s="33"/>
      <c r="AP9" s="34">
        <f t="shared" si="20"/>
        <v>0</v>
      </c>
      <c r="AQ9" s="32">
        <f t="shared" si="21"/>
        <v>0</v>
      </c>
      <c r="AR9" s="32">
        <f t="shared" si="22"/>
        <v>0</v>
      </c>
      <c r="AS9" s="32"/>
      <c r="AT9" s="32"/>
      <c r="AU9" s="32"/>
      <c r="AV9" s="32"/>
      <c r="AW9" s="32"/>
      <c r="AX9" s="32"/>
      <c r="AY9" s="32"/>
      <c r="AZ9" s="35"/>
      <c r="BB9" s="45">
        <f t="shared" si="7"/>
        <v>3880.12</v>
      </c>
      <c r="BC9" s="45">
        <f t="shared" si="8"/>
        <v>3802.2</v>
      </c>
      <c r="BD9" s="45"/>
      <c r="BE9" s="45">
        <f t="shared" si="16"/>
        <v>77.920000000000073</v>
      </c>
      <c r="BF9" s="39">
        <f t="shared" si="17"/>
        <v>2.0081853138562745E-2</v>
      </c>
    </row>
    <row r="10" spans="1:58" s="20" customFormat="1" ht="12.75" x14ac:dyDescent="0.2">
      <c r="A10" s="21">
        <f>IF(ISBLANK(F10),"",COUNTA($F$6:F10))</f>
        <v>5</v>
      </c>
      <c r="B10" s="37" t="s">
        <v>60</v>
      </c>
      <c r="C10" s="37" t="s">
        <v>61</v>
      </c>
      <c r="D10" s="22"/>
      <c r="E10" s="23" t="s">
        <v>62</v>
      </c>
      <c r="F10" s="36">
        <v>46204</v>
      </c>
      <c r="G10" s="24" t="s">
        <v>59</v>
      </c>
      <c r="H10" s="24">
        <v>58</v>
      </c>
      <c r="I10" s="24">
        <v>1</v>
      </c>
      <c r="J10" s="24" t="s">
        <v>62</v>
      </c>
      <c r="K10" s="25">
        <v>162008404</v>
      </c>
      <c r="L10" s="26">
        <v>46205</v>
      </c>
      <c r="M10" s="38">
        <v>46206</v>
      </c>
      <c r="N10" s="52">
        <v>16313</v>
      </c>
      <c r="O10" s="27"/>
      <c r="P10" s="27"/>
      <c r="Q10" s="27"/>
      <c r="R10" s="28">
        <v>5136.1000000000004</v>
      </c>
      <c r="S10" s="28">
        <v>1193.2000000000003</v>
      </c>
      <c r="T10" s="46">
        <f t="shared" si="18"/>
        <v>3942.9</v>
      </c>
      <c r="U10" s="28">
        <v>3943</v>
      </c>
      <c r="V10" s="28"/>
      <c r="W10" s="28"/>
      <c r="X10" s="28">
        <v>3948.2</v>
      </c>
      <c r="Y10" s="28"/>
      <c r="Z10" s="28">
        <f t="shared" si="1"/>
        <v>-5.2999999999997272</v>
      </c>
      <c r="AA10" s="29">
        <f t="shared" si="2"/>
        <v>-1.3441882878083965E-3</v>
      </c>
      <c r="AB10" s="40">
        <v>3942.92</v>
      </c>
      <c r="AC10" s="40"/>
      <c r="AD10" s="40"/>
      <c r="AE10" s="29"/>
      <c r="AF10" s="30"/>
      <c r="AG10" s="30"/>
      <c r="AH10" s="31"/>
      <c r="AI10" s="31">
        <f t="shared" si="19"/>
        <v>0</v>
      </c>
      <c r="AJ10" s="32"/>
      <c r="AK10" s="32"/>
      <c r="AL10" s="32"/>
      <c r="AM10" s="33"/>
      <c r="AN10" s="33"/>
      <c r="AO10" s="33"/>
      <c r="AP10" s="34">
        <f t="shared" si="20"/>
        <v>0</v>
      </c>
      <c r="AQ10" s="32">
        <f t="shared" si="21"/>
        <v>0</v>
      </c>
      <c r="AR10" s="32">
        <f t="shared" si="22"/>
        <v>0</v>
      </c>
      <c r="AS10" s="32"/>
      <c r="AT10" s="32"/>
      <c r="AU10" s="32"/>
      <c r="AV10" s="32"/>
      <c r="AW10" s="32"/>
      <c r="AX10" s="32"/>
      <c r="AY10" s="32"/>
      <c r="AZ10" s="35"/>
      <c r="BB10" s="45">
        <f t="shared" si="7"/>
        <v>3942.92</v>
      </c>
      <c r="BC10" s="45">
        <f t="shared" si="8"/>
        <v>3948.2</v>
      </c>
      <c r="BD10" s="45"/>
      <c r="BE10" s="45">
        <f t="shared" si="16"/>
        <v>-5.2799999999997453</v>
      </c>
      <c r="BF10" s="39">
        <f t="shared" si="17"/>
        <v>-1.3391090866666697E-3</v>
      </c>
    </row>
    <row r="11" spans="1:58" s="20" customFormat="1" ht="12.75" x14ac:dyDescent="0.2">
      <c r="A11" s="21">
        <f>IF(ISBLANK(F11),"",COUNTA($F$6:F11))</f>
        <v>6</v>
      </c>
      <c r="B11" s="37" t="s">
        <v>60</v>
      </c>
      <c r="C11" s="37" t="s">
        <v>61</v>
      </c>
      <c r="D11" s="22"/>
      <c r="E11" s="23" t="s">
        <v>63</v>
      </c>
      <c r="F11" s="36">
        <v>46205</v>
      </c>
      <c r="G11" s="24" t="s">
        <v>59</v>
      </c>
      <c r="H11" s="24">
        <v>58</v>
      </c>
      <c r="I11" s="24">
        <v>5</v>
      </c>
      <c r="J11" s="24" t="s">
        <v>63</v>
      </c>
      <c r="K11" s="25">
        <v>162006246</v>
      </c>
      <c r="L11" s="26">
        <v>46205</v>
      </c>
      <c r="M11" s="38">
        <v>46207</v>
      </c>
      <c r="N11" s="52">
        <v>16316</v>
      </c>
      <c r="O11" s="27"/>
      <c r="P11" s="27"/>
      <c r="Q11" s="27"/>
      <c r="R11" s="28">
        <v>4759.07</v>
      </c>
      <c r="S11" s="28">
        <v>1104.1699999999996</v>
      </c>
      <c r="T11" s="46">
        <f t="shared" si="11"/>
        <v>3654.9</v>
      </c>
      <c r="U11" s="28">
        <v>3657.4</v>
      </c>
      <c r="V11" s="28"/>
      <c r="W11" s="28"/>
      <c r="X11" s="28">
        <v>3533.8</v>
      </c>
      <c r="Y11" s="28"/>
      <c r="Z11" s="28">
        <f t="shared" si="1"/>
        <v>121.09999999999991</v>
      </c>
      <c r="AA11" s="29">
        <f t="shared" si="2"/>
        <v>3.3133601466524366E-2</v>
      </c>
      <c r="AB11" s="40">
        <v>3654.9</v>
      </c>
      <c r="AC11" s="40"/>
      <c r="AD11" s="40"/>
      <c r="AE11" s="29"/>
      <c r="AF11" s="30"/>
      <c r="AG11" s="30"/>
      <c r="AH11" s="31"/>
      <c r="AI11" s="31">
        <f t="shared" si="12"/>
        <v>0</v>
      </c>
      <c r="AJ11" s="32"/>
      <c r="AK11" s="32"/>
      <c r="AL11" s="32"/>
      <c r="AM11" s="33"/>
      <c r="AN11" s="33"/>
      <c r="AO11" s="33"/>
      <c r="AP11" s="34">
        <f t="shared" si="13"/>
        <v>0</v>
      </c>
      <c r="AQ11" s="32">
        <f t="shared" si="14"/>
        <v>0</v>
      </c>
      <c r="AR11" s="32">
        <f t="shared" si="15"/>
        <v>0</v>
      </c>
      <c r="AS11" s="32"/>
      <c r="AT11" s="32"/>
      <c r="AU11" s="32"/>
      <c r="AV11" s="32"/>
      <c r="AW11" s="32"/>
      <c r="AX11" s="32"/>
      <c r="AY11" s="32"/>
      <c r="AZ11" s="35"/>
      <c r="BB11" s="45">
        <f t="shared" si="7"/>
        <v>3654.9</v>
      </c>
      <c r="BC11" s="45">
        <f t="shared" si="8"/>
        <v>3533.8</v>
      </c>
      <c r="BD11" s="45"/>
      <c r="BE11" s="45">
        <f t="shared" si="16"/>
        <v>121.09999999999991</v>
      </c>
      <c r="BF11" s="39">
        <f t="shared" si="17"/>
        <v>3.3133601466524366E-2</v>
      </c>
    </row>
    <row r="12" spans="1:58" s="20" customFormat="1" ht="12.75" x14ac:dyDescent="0.2">
      <c r="A12" s="21">
        <f>IF(ISBLANK(F12),"",COUNTA($F$6:F12))</f>
        <v>7</v>
      </c>
      <c r="B12" s="37" t="s">
        <v>60</v>
      </c>
      <c r="C12" s="37" t="s">
        <v>61</v>
      </c>
      <c r="D12" s="22"/>
      <c r="E12" s="23" t="s">
        <v>64</v>
      </c>
      <c r="F12" s="36">
        <v>46205</v>
      </c>
      <c r="G12" s="24" t="s">
        <v>59</v>
      </c>
      <c r="H12" s="24">
        <v>59</v>
      </c>
      <c r="I12" s="24">
        <v>5</v>
      </c>
      <c r="J12" s="24" t="s">
        <v>64</v>
      </c>
      <c r="K12" s="25">
        <v>162004308</v>
      </c>
      <c r="L12" s="26">
        <v>46205</v>
      </c>
      <c r="M12" s="38">
        <v>46207</v>
      </c>
      <c r="N12" s="52">
        <v>16317</v>
      </c>
      <c r="O12" s="27"/>
      <c r="P12" s="27"/>
      <c r="Q12" s="27"/>
      <c r="R12" s="28">
        <v>4820.29</v>
      </c>
      <c r="S12" s="28">
        <v>1136.4899999999998</v>
      </c>
      <c r="T12" s="46">
        <f t="shared" si="11"/>
        <v>3683.8</v>
      </c>
      <c r="U12" s="28">
        <v>3704.8</v>
      </c>
      <c r="V12" s="28"/>
      <c r="W12" s="28"/>
      <c r="X12" s="28">
        <v>3621.8</v>
      </c>
      <c r="Y12" s="28"/>
      <c r="Z12" s="28">
        <f t="shared" si="1"/>
        <v>62</v>
      </c>
      <c r="AA12" s="29">
        <f t="shared" si="2"/>
        <v>1.6830446821217222E-2</v>
      </c>
      <c r="AB12" s="40">
        <v>3683.8</v>
      </c>
      <c r="AC12" s="40"/>
      <c r="AD12" s="40"/>
      <c r="AE12" s="29"/>
      <c r="AF12" s="30"/>
      <c r="AG12" s="30"/>
      <c r="AH12" s="31"/>
      <c r="AI12" s="31">
        <f t="shared" si="12"/>
        <v>0</v>
      </c>
      <c r="AJ12" s="32"/>
      <c r="AK12" s="32"/>
      <c r="AL12" s="32"/>
      <c r="AM12" s="33"/>
      <c r="AN12" s="33"/>
      <c r="AO12" s="33"/>
      <c r="AP12" s="34">
        <f t="shared" si="13"/>
        <v>0</v>
      </c>
      <c r="AQ12" s="32">
        <f t="shared" si="14"/>
        <v>0</v>
      </c>
      <c r="AR12" s="32">
        <f t="shared" si="15"/>
        <v>0</v>
      </c>
      <c r="AS12" s="32"/>
      <c r="AT12" s="32"/>
      <c r="AU12" s="32"/>
      <c r="AV12" s="32"/>
      <c r="AW12" s="32"/>
      <c r="AX12" s="32"/>
      <c r="AY12" s="32"/>
      <c r="AZ12" s="35"/>
      <c r="BB12" s="45">
        <f t="shared" si="7"/>
        <v>3683.8</v>
      </c>
      <c r="BC12" s="45">
        <f t="shared" si="8"/>
        <v>3621.8</v>
      </c>
      <c r="BD12" s="45"/>
      <c r="BE12" s="45">
        <f t="shared" si="16"/>
        <v>62</v>
      </c>
      <c r="BF12" s="39">
        <f t="shared" si="17"/>
        <v>1.6830446821217222E-2</v>
      </c>
    </row>
    <row r="13" spans="1:58" s="20" customFormat="1" ht="12.75" x14ac:dyDescent="0.2">
      <c r="A13" s="21">
        <f>IF(ISBLANK(F13),"",COUNTA($F$6:F13))</f>
        <v>8</v>
      </c>
      <c r="B13" s="37" t="s">
        <v>60</v>
      </c>
      <c r="C13" s="37" t="s">
        <v>61</v>
      </c>
      <c r="D13" s="22"/>
      <c r="E13" s="23" t="s">
        <v>66</v>
      </c>
      <c r="F13" s="36">
        <v>46205</v>
      </c>
      <c r="G13" s="24" t="s">
        <v>59</v>
      </c>
      <c r="H13" s="24">
        <v>58</v>
      </c>
      <c r="I13" s="24">
        <v>0</v>
      </c>
      <c r="J13" s="24" t="s">
        <v>66</v>
      </c>
      <c r="K13" s="25">
        <v>162003161</v>
      </c>
      <c r="L13" s="26">
        <v>46206</v>
      </c>
      <c r="M13" s="38">
        <v>46207</v>
      </c>
      <c r="N13" s="52">
        <v>16320</v>
      </c>
      <c r="O13" s="27"/>
      <c r="P13" s="27"/>
      <c r="Q13" s="27"/>
      <c r="R13" s="28">
        <v>5208.1000000000004</v>
      </c>
      <c r="S13" s="28">
        <v>1236.1000000000004</v>
      </c>
      <c r="T13" s="46">
        <f t="shared" si="11"/>
        <v>3972</v>
      </c>
      <c r="U13" s="28">
        <v>3968.8</v>
      </c>
      <c r="V13" s="28">
        <v>5096.3999999999996</v>
      </c>
      <c r="W13" s="28">
        <v>1242</v>
      </c>
      <c r="X13" s="28">
        <v>3854.4</v>
      </c>
      <c r="Y13" s="28"/>
      <c r="Z13" s="28">
        <f t="shared" si="1"/>
        <v>117.59999999999991</v>
      </c>
      <c r="AA13" s="29">
        <f t="shared" si="2"/>
        <v>2.9607250755286987E-2</v>
      </c>
      <c r="AB13" s="40">
        <v>3971.98</v>
      </c>
      <c r="AC13" s="40"/>
      <c r="AD13" s="40"/>
      <c r="AE13" s="29"/>
      <c r="AF13" s="30"/>
      <c r="AG13" s="30"/>
      <c r="AH13" s="31"/>
      <c r="AI13" s="31">
        <f t="shared" si="12"/>
        <v>0</v>
      </c>
      <c r="AJ13" s="32"/>
      <c r="AK13" s="32"/>
      <c r="AL13" s="32"/>
      <c r="AM13" s="33"/>
      <c r="AN13" s="33"/>
      <c r="AO13" s="33"/>
      <c r="AP13" s="34">
        <f t="shared" si="13"/>
        <v>0</v>
      </c>
      <c r="AQ13" s="32">
        <f t="shared" si="14"/>
        <v>0</v>
      </c>
      <c r="AR13" s="32">
        <f t="shared" si="15"/>
        <v>0</v>
      </c>
      <c r="AS13" s="32"/>
      <c r="AT13" s="32"/>
      <c r="AU13" s="32"/>
      <c r="AV13" s="32"/>
      <c r="AW13" s="32"/>
      <c r="AX13" s="32"/>
      <c r="AY13" s="32"/>
      <c r="AZ13" s="35"/>
      <c r="BB13" s="45">
        <f t="shared" si="7"/>
        <v>3971.98</v>
      </c>
      <c r="BC13" s="45">
        <f t="shared" si="8"/>
        <v>3854.4</v>
      </c>
      <c r="BD13" s="45"/>
      <c r="BE13" s="45">
        <f t="shared" si="16"/>
        <v>117.57999999999993</v>
      </c>
      <c r="BF13" s="39">
        <f t="shared" si="17"/>
        <v>2.9602364563769183E-2</v>
      </c>
    </row>
    <row r="14" spans="1:58" s="20" customFormat="1" ht="12.75" x14ac:dyDescent="0.2">
      <c r="A14" s="21">
        <f>IF(ISBLANK(F14),"",COUNTA($F$6:F14))</f>
        <v>9</v>
      </c>
      <c r="B14" s="37" t="s">
        <v>60</v>
      </c>
      <c r="C14" s="37" t="s">
        <v>61</v>
      </c>
      <c r="D14" s="22"/>
      <c r="E14" s="23" t="s">
        <v>62</v>
      </c>
      <c r="F14" s="36">
        <v>46205</v>
      </c>
      <c r="G14" s="24" t="s">
        <v>59</v>
      </c>
      <c r="H14" s="24">
        <v>58</v>
      </c>
      <c r="I14" s="24">
        <v>0</v>
      </c>
      <c r="J14" s="24" t="s">
        <v>62</v>
      </c>
      <c r="K14" s="25">
        <v>162008406</v>
      </c>
      <c r="L14" s="26">
        <v>46206</v>
      </c>
      <c r="M14" s="38">
        <v>46207</v>
      </c>
      <c r="N14" s="52">
        <v>16319</v>
      </c>
      <c r="O14" s="27"/>
      <c r="P14" s="27"/>
      <c r="Q14" s="27"/>
      <c r="R14" s="28">
        <v>5228.0600000000004</v>
      </c>
      <c r="S14" s="28">
        <v>1221.1600000000003</v>
      </c>
      <c r="T14" s="46">
        <f t="shared" si="11"/>
        <v>4006.9</v>
      </c>
      <c r="U14" s="28">
        <v>4004.2</v>
      </c>
      <c r="V14" s="28"/>
      <c r="W14" s="28"/>
      <c r="X14" s="28">
        <v>3976.2</v>
      </c>
      <c r="Y14" s="28"/>
      <c r="Z14" s="28">
        <f t="shared" si="1"/>
        <v>30.700000000000273</v>
      </c>
      <c r="AA14" s="29">
        <f t="shared" si="2"/>
        <v>7.6617834235943681E-3</v>
      </c>
      <c r="AB14" s="40">
        <v>4006.88</v>
      </c>
      <c r="AC14" s="40"/>
      <c r="AD14" s="40"/>
      <c r="AE14" s="29"/>
      <c r="AF14" s="30"/>
      <c r="AG14" s="30"/>
      <c r="AH14" s="31"/>
      <c r="AI14" s="31">
        <f t="shared" si="12"/>
        <v>0</v>
      </c>
      <c r="AJ14" s="32"/>
      <c r="AK14" s="32"/>
      <c r="AL14" s="32"/>
      <c r="AM14" s="33"/>
      <c r="AN14" s="33"/>
      <c r="AO14" s="33"/>
      <c r="AP14" s="34">
        <f t="shared" si="13"/>
        <v>0</v>
      </c>
      <c r="AQ14" s="32">
        <f t="shared" si="14"/>
        <v>0</v>
      </c>
      <c r="AR14" s="32">
        <f t="shared" si="15"/>
        <v>0</v>
      </c>
      <c r="AS14" s="32"/>
      <c r="AT14" s="32"/>
      <c r="AU14" s="32"/>
      <c r="AV14" s="32"/>
      <c r="AW14" s="32"/>
      <c r="AX14" s="32"/>
      <c r="AY14" s="32"/>
      <c r="AZ14" s="35"/>
      <c r="BB14" s="45">
        <f t="shared" si="7"/>
        <v>4006.88</v>
      </c>
      <c r="BC14" s="45">
        <f t="shared" si="8"/>
        <v>3976.2</v>
      </c>
      <c r="BD14" s="45"/>
      <c r="BE14" s="45">
        <f t="shared" si="16"/>
        <v>30.680000000000291</v>
      </c>
      <c r="BF14" s="39">
        <f t="shared" si="17"/>
        <v>7.6568302519666896E-3</v>
      </c>
    </row>
    <row r="15" spans="1:58" s="20" customFormat="1" ht="12.75" x14ac:dyDescent="0.2">
      <c r="A15" s="21">
        <f>IF(ISBLANK(F15),"",COUNTA($F$6:F15))</f>
        <v>10</v>
      </c>
      <c r="B15" s="37" t="s">
        <v>60</v>
      </c>
      <c r="C15" s="37" t="s">
        <v>61</v>
      </c>
      <c r="D15" s="22"/>
      <c r="E15" s="23" t="s">
        <v>64</v>
      </c>
      <c r="F15" s="36">
        <v>46206</v>
      </c>
      <c r="G15" s="24" t="s">
        <v>59</v>
      </c>
      <c r="H15" s="24">
        <v>58</v>
      </c>
      <c r="I15" s="24">
        <v>1</v>
      </c>
      <c r="J15" s="24" t="s">
        <v>64</v>
      </c>
      <c r="K15" s="25">
        <v>162004310</v>
      </c>
      <c r="L15" s="26">
        <v>46206</v>
      </c>
      <c r="M15" s="38">
        <v>46209</v>
      </c>
      <c r="N15" s="52">
        <v>16326</v>
      </c>
      <c r="O15" s="27"/>
      <c r="P15" s="27"/>
      <c r="Q15" s="27"/>
      <c r="R15" s="46">
        <v>5103.6499999999996</v>
      </c>
      <c r="S15" s="46">
        <v>1184.4499999999998</v>
      </c>
      <c r="T15" s="46">
        <f t="shared" si="11"/>
        <v>3919.2</v>
      </c>
      <c r="U15" s="46">
        <v>3929.4</v>
      </c>
      <c r="V15" s="46"/>
      <c r="W15" s="46"/>
      <c r="X15" s="46">
        <v>3882.8</v>
      </c>
      <c r="Y15" s="46"/>
      <c r="Z15" s="46">
        <f t="shared" si="1"/>
        <v>36.399999999999636</v>
      </c>
      <c r="AA15" s="39">
        <f t="shared" si="2"/>
        <v>9.2876097162685346E-3</v>
      </c>
      <c r="AB15" s="73">
        <v>3919.2</v>
      </c>
      <c r="AC15" s="73"/>
      <c r="AD15" s="73"/>
      <c r="AE15" s="39"/>
      <c r="AF15" s="74"/>
      <c r="AG15" s="74"/>
      <c r="AH15" s="75"/>
      <c r="AI15" s="75">
        <f t="shared" si="12"/>
        <v>0</v>
      </c>
      <c r="AJ15" s="32"/>
      <c r="AK15" s="32"/>
      <c r="AL15" s="32"/>
      <c r="AM15" s="33"/>
      <c r="AN15" s="33"/>
      <c r="AO15" s="33"/>
      <c r="AP15" s="34">
        <f t="shared" si="13"/>
        <v>0</v>
      </c>
      <c r="AQ15" s="32">
        <f t="shared" si="14"/>
        <v>0</v>
      </c>
      <c r="AR15" s="32">
        <f t="shared" si="15"/>
        <v>0</v>
      </c>
      <c r="AS15" s="32"/>
      <c r="AT15" s="32"/>
      <c r="AU15" s="32"/>
      <c r="AV15" s="32"/>
      <c r="AW15" s="32"/>
      <c r="AX15" s="32"/>
      <c r="AY15" s="32"/>
      <c r="AZ15" s="35"/>
      <c r="BB15" s="45">
        <f t="shared" si="7"/>
        <v>3919.2</v>
      </c>
      <c r="BC15" s="45">
        <f t="shared" si="8"/>
        <v>3882.8</v>
      </c>
      <c r="BD15" s="45"/>
      <c r="BE15" s="45">
        <f t="shared" si="16"/>
        <v>36.399999999999636</v>
      </c>
      <c r="BF15" s="39">
        <f t="shared" si="17"/>
        <v>9.2876097162685346E-3</v>
      </c>
    </row>
    <row r="16" spans="1:58" s="20" customFormat="1" ht="12.75" x14ac:dyDescent="0.2">
      <c r="A16" s="21">
        <f>IF(ISBLANK(F16),"",COUNTA($F$6:F16))</f>
        <v>11</v>
      </c>
      <c r="B16" s="37" t="s">
        <v>60</v>
      </c>
      <c r="C16" s="37" t="s">
        <v>61</v>
      </c>
      <c r="D16" s="22"/>
      <c r="E16" s="23" t="s">
        <v>62</v>
      </c>
      <c r="F16" s="36">
        <v>46206</v>
      </c>
      <c r="G16" s="24" t="s">
        <v>59</v>
      </c>
      <c r="H16" s="24">
        <v>58</v>
      </c>
      <c r="I16" s="24">
        <v>1</v>
      </c>
      <c r="J16" s="24" t="s">
        <v>62</v>
      </c>
      <c r="K16" s="25">
        <v>162008408</v>
      </c>
      <c r="L16" s="26">
        <v>46206</v>
      </c>
      <c r="M16" s="38">
        <v>46209</v>
      </c>
      <c r="N16" s="52">
        <v>16327</v>
      </c>
      <c r="O16" s="27"/>
      <c r="P16" s="27"/>
      <c r="Q16" s="27"/>
      <c r="R16" s="46">
        <v>5138.07</v>
      </c>
      <c r="S16" s="46">
        <v>1189.7699999999995</v>
      </c>
      <c r="T16" s="46">
        <f t="shared" si="11"/>
        <v>3948.3</v>
      </c>
      <c r="U16" s="46">
        <v>3948.4</v>
      </c>
      <c r="V16" s="46"/>
      <c r="W16" s="46"/>
      <c r="X16" s="46">
        <v>3933.8</v>
      </c>
      <c r="Y16" s="46"/>
      <c r="Z16" s="46">
        <f t="shared" si="1"/>
        <v>14.5</v>
      </c>
      <c r="AA16" s="39">
        <f t="shared" si="2"/>
        <v>3.6724666312083678E-3</v>
      </c>
      <c r="AB16" s="73">
        <v>3948.34</v>
      </c>
      <c r="AC16" s="73"/>
      <c r="AD16" s="73"/>
      <c r="AE16" s="39"/>
      <c r="AF16" s="74"/>
      <c r="AG16" s="74"/>
      <c r="AH16" s="75"/>
      <c r="AI16" s="75">
        <f t="shared" si="12"/>
        <v>0</v>
      </c>
      <c r="AJ16" s="32"/>
      <c r="AK16" s="32"/>
      <c r="AL16" s="32"/>
      <c r="AM16" s="33"/>
      <c r="AN16" s="33"/>
      <c r="AO16" s="33"/>
      <c r="AP16" s="34">
        <f t="shared" si="13"/>
        <v>0</v>
      </c>
      <c r="AQ16" s="32">
        <f t="shared" si="14"/>
        <v>0</v>
      </c>
      <c r="AR16" s="32">
        <f t="shared" si="15"/>
        <v>0</v>
      </c>
      <c r="AS16" s="32"/>
      <c r="AT16" s="32"/>
      <c r="AU16" s="32"/>
      <c r="AV16" s="32"/>
      <c r="AW16" s="32"/>
      <c r="AX16" s="32"/>
      <c r="AY16" s="32"/>
      <c r="AZ16" s="35"/>
      <c r="BB16" s="45">
        <f t="shared" si="7"/>
        <v>3948.34</v>
      </c>
      <c r="BC16" s="45">
        <f t="shared" si="8"/>
        <v>3933.8</v>
      </c>
      <c r="BD16" s="45"/>
      <c r="BE16" s="45">
        <f t="shared" si="16"/>
        <v>14.539999999999964</v>
      </c>
      <c r="BF16" s="39">
        <f t="shared" si="17"/>
        <v>3.682560265833227E-3</v>
      </c>
    </row>
    <row r="17" spans="1:58" s="20" customFormat="1" ht="12.75" x14ac:dyDescent="0.2">
      <c r="A17" s="21">
        <f>IF(ISBLANK(F17),"",COUNTA($F$6:F17))</f>
        <v>12</v>
      </c>
      <c r="B17" s="37" t="s">
        <v>60</v>
      </c>
      <c r="C17" s="37" t="s">
        <v>61</v>
      </c>
      <c r="D17" s="22"/>
      <c r="E17" s="23" t="s">
        <v>63</v>
      </c>
      <c r="F17" s="36">
        <v>46206</v>
      </c>
      <c r="G17" s="24" t="s">
        <v>59</v>
      </c>
      <c r="H17" s="24">
        <v>58</v>
      </c>
      <c r="I17" s="24">
        <v>2</v>
      </c>
      <c r="J17" s="24" t="s">
        <v>63</v>
      </c>
      <c r="K17" s="25">
        <v>162006251</v>
      </c>
      <c r="L17" s="26">
        <v>46206</v>
      </c>
      <c r="M17" s="38">
        <v>46208</v>
      </c>
      <c r="N17" s="52">
        <v>16321</v>
      </c>
      <c r="O17" s="27"/>
      <c r="P17" s="27"/>
      <c r="Q17" s="27"/>
      <c r="R17" s="28">
        <v>5012.04</v>
      </c>
      <c r="S17" s="28">
        <v>1180.94</v>
      </c>
      <c r="T17" s="46">
        <f t="shared" si="11"/>
        <v>3831.1</v>
      </c>
      <c r="U17" s="28">
        <v>3842.2</v>
      </c>
      <c r="V17" s="28"/>
      <c r="W17" s="28"/>
      <c r="X17" s="28">
        <v>3747</v>
      </c>
      <c r="Y17" s="28"/>
      <c r="Z17" s="28">
        <f t="shared" si="1"/>
        <v>84.099999999999909</v>
      </c>
      <c r="AA17" s="29">
        <f t="shared" si="2"/>
        <v>2.1951919814152569E-2</v>
      </c>
      <c r="AB17" s="40">
        <v>3831.05</v>
      </c>
      <c r="AC17" s="40"/>
      <c r="AD17" s="40"/>
      <c r="AE17" s="29"/>
      <c r="AF17" s="30"/>
      <c r="AG17" s="30"/>
      <c r="AH17" s="31"/>
      <c r="AI17" s="31">
        <f t="shared" si="12"/>
        <v>0</v>
      </c>
      <c r="AJ17" s="32"/>
      <c r="AK17" s="32"/>
      <c r="AL17" s="32"/>
      <c r="AM17" s="33"/>
      <c r="AN17" s="33"/>
      <c r="AO17" s="33"/>
      <c r="AP17" s="34">
        <f t="shared" si="13"/>
        <v>0</v>
      </c>
      <c r="AQ17" s="32">
        <f t="shared" si="14"/>
        <v>0</v>
      </c>
      <c r="AR17" s="32">
        <f t="shared" si="15"/>
        <v>0</v>
      </c>
      <c r="AS17" s="32"/>
      <c r="AT17" s="32"/>
      <c r="AU17" s="32"/>
      <c r="AV17" s="32"/>
      <c r="AW17" s="32"/>
      <c r="AX17" s="32"/>
      <c r="AY17" s="32"/>
      <c r="AZ17" s="35"/>
      <c r="BB17" s="45">
        <f t="shared" si="7"/>
        <v>3831.05</v>
      </c>
      <c r="BC17" s="45">
        <f t="shared" si="8"/>
        <v>3747</v>
      </c>
      <c r="BD17" s="45"/>
      <c r="BE17" s="45">
        <f t="shared" si="16"/>
        <v>84.050000000000182</v>
      </c>
      <c r="BF17" s="39">
        <f t="shared" si="17"/>
        <v>2.1939155061928239E-2</v>
      </c>
    </row>
    <row r="18" spans="1:58" s="20" customFormat="1" ht="12.75" x14ac:dyDescent="0.2">
      <c r="A18" s="21">
        <f>IF(ISBLANK(F18),"",COUNTA($F$6:F18))</f>
        <v>13</v>
      </c>
      <c r="B18" s="37" t="s">
        <v>60</v>
      </c>
      <c r="C18" s="37" t="s">
        <v>61</v>
      </c>
      <c r="D18" s="22"/>
      <c r="E18" s="23" t="s">
        <v>65</v>
      </c>
      <c r="F18" s="36">
        <v>46206</v>
      </c>
      <c r="G18" s="24" t="s">
        <v>59</v>
      </c>
      <c r="H18" s="24">
        <v>58</v>
      </c>
      <c r="I18" s="24">
        <v>4</v>
      </c>
      <c r="J18" s="24" t="s">
        <v>67</v>
      </c>
      <c r="K18" s="25">
        <v>162011610</v>
      </c>
      <c r="L18" s="26">
        <v>46207</v>
      </c>
      <c r="M18" s="38">
        <v>46210</v>
      </c>
      <c r="N18" s="52">
        <v>16332</v>
      </c>
      <c r="O18" s="27"/>
      <c r="P18" s="27"/>
      <c r="Q18" s="27"/>
      <c r="R18" s="46">
        <v>4852.3500000000004</v>
      </c>
      <c r="S18" s="46">
        <v>1132.5500000000002</v>
      </c>
      <c r="T18" s="46">
        <f t="shared" si="11"/>
        <v>3719.8</v>
      </c>
      <c r="U18" s="46">
        <v>3752.8</v>
      </c>
      <c r="V18" s="46"/>
      <c r="W18" s="46"/>
      <c r="X18" s="46">
        <v>3468.2</v>
      </c>
      <c r="Y18" s="46"/>
      <c r="Z18" s="46">
        <f t="shared" si="1"/>
        <v>251.60000000000036</v>
      </c>
      <c r="AA18" s="39">
        <f t="shared" si="2"/>
        <v>6.7638045056185911E-2</v>
      </c>
      <c r="AB18" s="73">
        <v>3733.35</v>
      </c>
      <c r="AC18" s="73"/>
      <c r="AD18" s="73"/>
      <c r="AE18" s="39"/>
      <c r="AF18" s="74"/>
      <c r="AG18" s="74"/>
      <c r="AH18" s="75"/>
      <c r="AI18" s="75">
        <f t="shared" si="12"/>
        <v>0</v>
      </c>
      <c r="AJ18" s="32"/>
      <c r="AK18" s="32"/>
      <c r="AL18" s="32"/>
      <c r="AM18" s="33"/>
      <c r="AN18" s="33"/>
      <c r="AO18" s="33"/>
      <c r="AP18" s="34">
        <f t="shared" si="13"/>
        <v>0</v>
      </c>
      <c r="AQ18" s="32">
        <f t="shared" si="14"/>
        <v>0</v>
      </c>
      <c r="AR18" s="32">
        <f t="shared" si="15"/>
        <v>0</v>
      </c>
      <c r="AS18" s="32"/>
      <c r="AT18" s="32"/>
      <c r="AU18" s="32"/>
      <c r="AV18" s="32"/>
      <c r="AW18" s="32"/>
      <c r="AX18" s="32"/>
      <c r="AY18" s="32"/>
      <c r="AZ18" s="35"/>
      <c r="BB18" s="45">
        <f t="shared" si="7"/>
        <v>3733.35</v>
      </c>
      <c r="BC18" s="45">
        <f t="shared" si="8"/>
        <v>3468.2</v>
      </c>
      <c r="BD18" s="45"/>
      <c r="BE18" s="45">
        <f t="shared" si="16"/>
        <v>265.15000000000009</v>
      </c>
      <c r="BF18" s="39">
        <f t="shared" si="17"/>
        <v>7.1022004366051966E-2</v>
      </c>
    </row>
    <row r="19" spans="1:58" s="20" customFormat="1" ht="12.75" x14ac:dyDescent="0.2">
      <c r="A19" s="21">
        <f>IF(ISBLANK(F19),"",COUNTA($F$6:F19))</f>
        <v>14</v>
      </c>
      <c r="B19" s="37" t="s">
        <v>60</v>
      </c>
      <c r="C19" s="37" t="s">
        <v>61</v>
      </c>
      <c r="D19" s="22"/>
      <c r="E19" s="23" t="s">
        <v>65</v>
      </c>
      <c r="F19" s="36">
        <v>46207</v>
      </c>
      <c r="G19" s="24" t="s">
        <v>59</v>
      </c>
      <c r="H19" s="24">
        <v>58</v>
      </c>
      <c r="I19" s="24">
        <v>3</v>
      </c>
      <c r="J19" s="24" t="s">
        <v>67</v>
      </c>
      <c r="K19" s="25">
        <v>162011611</v>
      </c>
      <c r="L19" s="26">
        <v>46207</v>
      </c>
      <c r="M19" s="38">
        <v>46209</v>
      </c>
      <c r="N19" s="52">
        <v>16325</v>
      </c>
      <c r="O19" s="27"/>
      <c r="P19" s="27"/>
      <c r="Q19" s="27"/>
      <c r="R19" s="46">
        <v>4858.3999999999996</v>
      </c>
      <c r="S19" s="46">
        <v>1158.7999999999997</v>
      </c>
      <c r="T19" s="46">
        <f t="shared" si="11"/>
        <v>3699.6</v>
      </c>
      <c r="U19" s="46">
        <v>3802.4</v>
      </c>
      <c r="V19" s="46"/>
      <c r="W19" s="46"/>
      <c r="X19" s="46">
        <v>3474.4</v>
      </c>
      <c r="Y19" s="46"/>
      <c r="Z19" s="46">
        <f t="shared" si="1"/>
        <v>225.19999999999982</v>
      </c>
      <c r="AA19" s="39">
        <f t="shared" si="2"/>
        <v>6.0871445561682294E-2</v>
      </c>
      <c r="AB19" s="73">
        <v>3702.63</v>
      </c>
      <c r="AC19" s="73"/>
      <c r="AD19" s="73"/>
      <c r="AE19" s="39"/>
      <c r="AF19" s="74"/>
      <c r="AG19" s="74"/>
      <c r="AH19" s="75"/>
      <c r="AI19" s="75">
        <f t="shared" si="12"/>
        <v>0</v>
      </c>
      <c r="AJ19" s="32"/>
      <c r="AK19" s="32"/>
      <c r="AL19" s="32"/>
      <c r="AM19" s="33"/>
      <c r="AN19" s="33"/>
      <c r="AO19" s="33"/>
      <c r="AP19" s="34">
        <f t="shared" si="13"/>
        <v>0</v>
      </c>
      <c r="AQ19" s="32">
        <f t="shared" si="14"/>
        <v>0</v>
      </c>
      <c r="AR19" s="32">
        <f t="shared" si="15"/>
        <v>0</v>
      </c>
      <c r="AS19" s="32"/>
      <c r="AT19" s="32"/>
      <c r="AU19" s="32"/>
      <c r="AV19" s="32"/>
      <c r="AW19" s="32"/>
      <c r="AX19" s="32"/>
      <c r="AY19" s="32"/>
      <c r="AZ19" s="35"/>
      <c r="BB19" s="45">
        <f t="shared" si="7"/>
        <v>3702.63</v>
      </c>
      <c r="BC19" s="45">
        <f t="shared" si="8"/>
        <v>3474.4</v>
      </c>
      <c r="BD19" s="45"/>
      <c r="BE19" s="45">
        <f t="shared" si="16"/>
        <v>228.23000000000002</v>
      </c>
      <c r="BF19" s="39">
        <f t="shared" si="17"/>
        <v>6.1639969427136933E-2</v>
      </c>
    </row>
    <row r="20" spans="1:58" s="20" customFormat="1" ht="12.75" x14ac:dyDescent="0.2">
      <c r="A20" s="21">
        <f>IF(ISBLANK(F20),"",COUNTA($F$6:F20))</f>
        <v>15</v>
      </c>
      <c r="B20" s="37" t="s">
        <v>60</v>
      </c>
      <c r="C20" s="37" t="s">
        <v>61</v>
      </c>
      <c r="D20" s="22"/>
      <c r="E20" s="23" t="s">
        <v>62</v>
      </c>
      <c r="F20" s="36">
        <v>46207</v>
      </c>
      <c r="G20" s="24" t="s">
        <v>59</v>
      </c>
      <c r="H20" s="24">
        <v>59</v>
      </c>
      <c r="I20" s="24">
        <v>0</v>
      </c>
      <c r="J20" s="24" t="s">
        <v>62</v>
      </c>
      <c r="K20" s="25">
        <v>162008413</v>
      </c>
      <c r="L20" s="26">
        <v>46207</v>
      </c>
      <c r="M20" s="38">
        <v>46211</v>
      </c>
      <c r="N20" s="52">
        <v>16340</v>
      </c>
      <c r="O20" s="27"/>
      <c r="P20" s="27"/>
      <c r="Q20" s="27"/>
      <c r="R20" s="46">
        <v>5309.16</v>
      </c>
      <c r="S20" s="46">
        <v>1240.96</v>
      </c>
      <c r="T20" s="46">
        <f t="shared" si="11"/>
        <v>4068.2</v>
      </c>
      <c r="U20" s="46">
        <v>4064.6</v>
      </c>
      <c r="V20" s="46"/>
      <c r="W20" s="46"/>
      <c r="X20" s="46">
        <v>4107.2</v>
      </c>
      <c r="Y20" s="46"/>
      <c r="Z20" s="46">
        <f t="shared" si="1"/>
        <v>-39</v>
      </c>
      <c r="AA20" s="39">
        <f t="shared" si="2"/>
        <v>-9.586549333857726E-3</v>
      </c>
      <c r="AB20" s="73">
        <v>4068.16</v>
      </c>
      <c r="AC20" s="73"/>
      <c r="AD20" s="73"/>
      <c r="AE20" s="39"/>
      <c r="AF20" s="74"/>
      <c r="AG20" s="74"/>
      <c r="AH20" s="75"/>
      <c r="AI20" s="75">
        <f t="shared" si="12"/>
        <v>0</v>
      </c>
      <c r="AJ20" s="32"/>
      <c r="AK20" s="32"/>
      <c r="AL20" s="32"/>
      <c r="AM20" s="33"/>
      <c r="AN20" s="33"/>
      <c r="AO20" s="33"/>
      <c r="AP20" s="34">
        <f t="shared" si="13"/>
        <v>0</v>
      </c>
      <c r="AQ20" s="32">
        <f t="shared" si="14"/>
        <v>0</v>
      </c>
      <c r="AR20" s="32">
        <f t="shared" si="15"/>
        <v>0</v>
      </c>
      <c r="AS20" s="32"/>
      <c r="AT20" s="32"/>
      <c r="AU20" s="32"/>
      <c r="AV20" s="32"/>
      <c r="AW20" s="32"/>
      <c r="AX20" s="32"/>
      <c r="AY20" s="32"/>
      <c r="AZ20" s="35"/>
      <c r="BB20" s="45">
        <f t="shared" si="7"/>
        <v>4068.16</v>
      </c>
      <c r="BC20" s="45">
        <f t="shared" si="8"/>
        <v>4107.2</v>
      </c>
      <c r="BD20" s="45"/>
      <c r="BE20" s="45">
        <f t="shared" si="16"/>
        <v>-39.039999999999964</v>
      </c>
      <c r="BF20" s="39">
        <f t="shared" si="17"/>
        <v>-9.5964760481396915E-3</v>
      </c>
    </row>
    <row r="21" spans="1:58" s="20" customFormat="1" ht="12.75" x14ac:dyDescent="0.2">
      <c r="A21" s="21">
        <f>IF(ISBLANK(F21),"",COUNTA($F$6:F21))</f>
        <v>16</v>
      </c>
      <c r="B21" s="37" t="s">
        <v>60</v>
      </c>
      <c r="C21" s="37" t="s">
        <v>61</v>
      </c>
      <c r="D21" s="22"/>
      <c r="E21" s="23" t="s">
        <v>64</v>
      </c>
      <c r="F21" s="36">
        <v>46207</v>
      </c>
      <c r="G21" s="24" t="s">
        <v>59</v>
      </c>
      <c r="H21" s="24">
        <v>59</v>
      </c>
      <c r="I21" s="24">
        <v>0</v>
      </c>
      <c r="J21" s="24" t="s">
        <v>64</v>
      </c>
      <c r="K21" s="25">
        <v>162004311</v>
      </c>
      <c r="L21" s="26">
        <v>46207</v>
      </c>
      <c r="M21" s="38">
        <v>46209</v>
      </c>
      <c r="N21" s="52">
        <v>16328</v>
      </c>
      <c r="O21" s="27"/>
      <c r="P21" s="27"/>
      <c r="Q21" s="27"/>
      <c r="R21" s="46">
        <v>5270.14</v>
      </c>
      <c r="S21" s="46">
        <v>1241.8400000000001</v>
      </c>
      <c r="T21" s="46">
        <f t="shared" si="11"/>
        <v>4028.3</v>
      </c>
      <c r="U21" s="46">
        <v>4050.8</v>
      </c>
      <c r="V21" s="46"/>
      <c r="W21" s="46"/>
      <c r="X21" s="46">
        <v>3988</v>
      </c>
      <c r="Y21" s="46"/>
      <c r="Z21" s="46">
        <f t="shared" si="1"/>
        <v>40.300000000000182</v>
      </c>
      <c r="AA21" s="39">
        <f t="shared" si="2"/>
        <v>1.0004220142491915E-2</v>
      </c>
      <c r="AB21" s="73">
        <v>4028.3</v>
      </c>
      <c r="AC21" s="73"/>
      <c r="AD21" s="73"/>
      <c r="AE21" s="39"/>
      <c r="AF21" s="74"/>
      <c r="AG21" s="74"/>
      <c r="AH21" s="75"/>
      <c r="AI21" s="75">
        <f t="shared" si="12"/>
        <v>0</v>
      </c>
      <c r="AJ21" s="32"/>
      <c r="AK21" s="32"/>
      <c r="AL21" s="32"/>
      <c r="AM21" s="33"/>
      <c r="AN21" s="33"/>
      <c r="AO21" s="33"/>
      <c r="AP21" s="34">
        <f t="shared" si="13"/>
        <v>0</v>
      </c>
      <c r="AQ21" s="32">
        <f t="shared" si="14"/>
        <v>0</v>
      </c>
      <c r="AR21" s="32">
        <f t="shared" si="15"/>
        <v>0</v>
      </c>
      <c r="AS21" s="32"/>
      <c r="AT21" s="32"/>
      <c r="AU21" s="32"/>
      <c r="AV21" s="32"/>
      <c r="AW21" s="32"/>
      <c r="AX21" s="32"/>
      <c r="AY21" s="32"/>
      <c r="AZ21" s="35"/>
      <c r="BB21" s="45">
        <f t="shared" si="7"/>
        <v>4028.3</v>
      </c>
      <c r="BC21" s="45">
        <f t="shared" si="8"/>
        <v>3988</v>
      </c>
      <c r="BD21" s="45"/>
      <c r="BE21" s="45">
        <f t="shared" si="16"/>
        <v>40.300000000000182</v>
      </c>
      <c r="BF21" s="39">
        <f t="shared" si="17"/>
        <v>1.0004220142491915E-2</v>
      </c>
    </row>
    <row r="22" spans="1:58" s="20" customFormat="1" ht="12.75" x14ac:dyDescent="0.2">
      <c r="A22" s="21">
        <f>IF(ISBLANK(F22),"",COUNTA($F$6:F22))</f>
        <v>17</v>
      </c>
      <c r="B22" s="37" t="s">
        <v>60</v>
      </c>
      <c r="C22" s="37" t="s">
        <v>61</v>
      </c>
      <c r="D22" s="22"/>
      <c r="E22" s="23" t="s">
        <v>63</v>
      </c>
      <c r="F22" s="36">
        <v>46207</v>
      </c>
      <c r="G22" s="24" t="s">
        <v>59</v>
      </c>
      <c r="H22" s="24">
        <v>59</v>
      </c>
      <c r="I22" s="24">
        <v>2</v>
      </c>
      <c r="J22" s="24" t="s">
        <v>63</v>
      </c>
      <c r="K22" s="25">
        <v>162006254</v>
      </c>
      <c r="L22" s="26">
        <v>46207</v>
      </c>
      <c r="M22" s="38">
        <v>46210</v>
      </c>
      <c r="N22" s="52">
        <v>16336</v>
      </c>
      <c r="O22" s="27"/>
      <c r="P22" s="27"/>
      <c r="Q22" s="27"/>
      <c r="R22" s="46">
        <v>5118.13</v>
      </c>
      <c r="S22" s="46">
        <v>1188.6300000000001</v>
      </c>
      <c r="T22" s="46">
        <f t="shared" si="11"/>
        <v>3929.5</v>
      </c>
      <c r="U22" s="46">
        <v>3929.8</v>
      </c>
      <c r="V22" s="46"/>
      <c r="W22" s="46"/>
      <c r="X22" s="46">
        <v>3906</v>
      </c>
      <c r="Y22" s="46"/>
      <c r="Z22" s="46">
        <f t="shared" si="1"/>
        <v>23.5</v>
      </c>
      <c r="AA22" s="39">
        <f t="shared" si="2"/>
        <v>5.9804046316325231E-3</v>
      </c>
      <c r="AB22" s="73">
        <v>3929.5</v>
      </c>
      <c r="AC22" s="73"/>
      <c r="AD22" s="73"/>
      <c r="AE22" s="39"/>
      <c r="AF22" s="74"/>
      <c r="AG22" s="74"/>
      <c r="AH22" s="75"/>
      <c r="AI22" s="75">
        <f t="shared" si="12"/>
        <v>0</v>
      </c>
      <c r="AJ22" s="32"/>
      <c r="AK22" s="32"/>
      <c r="AL22" s="32"/>
      <c r="AM22" s="33"/>
      <c r="AN22" s="33"/>
      <c r="AO22" s="33"/>
      <c r="AP22" s="34">
        <f t="shared" si="13"/>
        <v>0</v>
      </c>
      <c r="AQ22" s="32">
        <f t="shared" si="14"/>
        <v>0</v>
      </c>
      <c r="AR22" s="32">
        <f t="shared" si="15"/>
        <v>0</v>
      </c>
      <c r="AS22" s="32"/>
      <c r="AT22" s="32"/>
      <c r="AU22" s="32"/>
      <c r="AV22" s="32"/>
      <c r="AW22" s="32"/>
      <c r="AX22" s="32"/>
      <c r="AY22" s="32"/>
      <c r="AZ22" s="35"/>
      <c r="BB22" s="45">
        <f t="shared" si="7"/>
        <v>3929.5</v>
      </c>
      <c r="BC22" s="45">
        <f t="shared" si="8"/>
        <v>3906</v>
      </c>
      <c r="BD22" s="45"/>
      <c r="BE22" s="45">
        <f t="shared" si="16"/>
        <v>23.5</v>
      </c>
      <c r="BF22" s="39">
        <f t="shared" si="17"/>
        <v>5.9804046316325231E-3</v>
      </c>
    </row>
    <row r="23" spans="1:58" s="20" customFormat="1" ht="12.75" x14ac:dyDescent="0.2">
      <c r="A23" s="21">
        <f>IF(ISBLANK(F23),"",COUNTA($F$6:F23))</f>
        <v>18</v>
      </c>
      <c r="B23" s="37" t="s">
        <v>60</v>
      </c>
      <c r="C23" s="37" t="s">
        <v>61</v>
      </c>
      <c r="D23" s="22"/>
      <c r="E23" s="23" t="s">
        <v>65</v>
      </c>
      <c r="F23" s="36">
        <v>46208</v>
      </c>
      <c r="G23" s="24" t="s">
        <v>59</v>
      </c>
      <c r="H23" s="24">
        <v>58</v>
      </c>
      <c r="I23" s="24">
        <v>1</v>
      </c>
      <c r="J23" s="24" t="s">
        <v>67</v>
      </c>
      <c r="K23" s="25">
        <v>162011614</v>
      </c>
      <c r="L23" s="26">
        <v>46208</v>
      </c>
      <c r="M23" s="38">
        <v>46211</v>
      </c>
      <c r="N23" s="52">
        <v>16337</v>
      </c>
      <c r="O23" s="27"/>
      <c r="P23" s="27"/>
      <c r="Q23" s="27"/>
      <c r="R23" s="46">
        <v>5090</v>
      </c>
      <c r="S23" s="46">
        <v>1193.1999999999998</v>
      </c>
      <c r="T23" s="46">
        <f t="shared" si="11"/>
        <v>3896.8</v>
      </c>
      <c r="U23" s="46">
        <v>3952.8</v>
      </c>
      <c r="V23" s="46"/>
      <c r="W23" s="46"/>
      <c r="X23" s="46">
        <v>3802</v>
      </c>
      <c r="Y23" s="46"/>
      <c r="Z23" s="46">
        <f t="shared" si="1"/>
        <v>94.800000000000182</v>
      </c>
      <c r="AA23" s="39">
        <f t="shared" si="2"/>
        <v>2.4327653459248661E-2</v>
      </c>
      <c r="AB23" s="73">
        <v>3900.31</v>
      </c>
      <c r="AC23" s="73"/>
      <c r="AD23" s="73"/>
      <c r="AE23" s="39"/>
      <c r="AF23" s="74"/>
      <c r="AG23" s="74"/>
      <c r="AH23" s="75"/>
      <c r="AI23" s="75">
        <f t="shared" si="12"/>
        <v>0</v>
      </c>
      <c r="AJ23" s="32"/>
      <c r="AK23" s="32"/>
      <c r="AL23" s="32"/>
      <c r="AM23" s="33"/>
      <c r="AN23" s="33"/>
      <c r="AO23" s="33"/>
      <c r="AP23" s="34">
        <f t="shared" si="13"/>
        <v>0</v>
      </c>
      <c r="AQ23" s="32">
        <f t="shared" si="14"/>
        <v>0</v>
      </c>
      <c r="AR23" s="32">
        <f t="shared" si="15"/>
        <v>0</v>
      </c>
      <c r="AS23" s="32"/>
      <c r="AT23" s="32"/>
      <c r="AU23" s="32"/>
      <c r="AV23" s="32"/>
      <c r="AW23" s="32"/>
      <c r="AX23" s="32"/>
      <c r="AY23" s="32"/>
      <c r="AZ23" s="35"/>
      <c r="BB23" s="45">
        <f t="shared" si="7"/>
        <v>3900.31</v>
      </c>
      <c r="BC23" s="45">
        <f t="shared" si="8"/>
        <v>3802</v>
      </c>
      <c r="BD23" s="45"/>
      <c r="BE23" s="45">
        <f t="shared" si="16"/>
        <v>98.309999999999945</v>
      </c>
      <c r="BF23" s="39">
        <f t="shared" si="17"/>
        <v>2.5205688778584253E-2</v>
      </c>
    </row>
    <row r="24" spans="1:58" s="20" customFormat="1" ht="12.75" x14ac:dyDescent="0.2">
      <c r="A24" s="21">
        <f>IF(ISBLANK(F24),"",COUNTA($F$6:F24))</f>
        <v>19</v>
      </c>
      <c r="B24" s="37" t="s">
        <v>60</v>
      </c>
      <c r="C24" s="37" t="s">
        <v>61</v>
      </c>
      <c r="D24" s="22"/>
      <c r="E24" s="23" t="s">
        <v>62</v>
      </c>
      <c r="F24" s="36">
        <v>46208</v>
      </c>
      <c r="G24" s="24" t="s">
        <v>59</v>
      </c>
      <c r="H24" s="24">
        <v>58</v>
      </c>
      <c r="I24" s="24">
        <v>0</v>
      </c>
      <c r="J24" s="24" t="s">
        <v>62</v>
      </c>
      <c r="K24" s="25">
        <v>162008419</v>
      </c>
      <c r="L24" s="26">
        <v>46208</v>
      </c>
      <c r="M24" s="38">
        <v>46210</v>
      </c>
      <c r="N24" s="52">
        <v>16335</v>
      </c>
      <c r="O24" s="27"/>
      <c r="P24" s="27"/>
      <c r="Q24" s="27"/>
      <c r="R24" s="46">
        <v>5222.2</v>
      </c>
      <c r="S24" s="46">
        <v>1220.6999999999998</v>
      </c>
      <c r="T24" s="46">
        <f t="shared" si="0"/>
        <v>4001.5</v>
      </c>
      <c r="U24" s="46">
        <v>3994.8</v>
      </c>
      <c r="V24" s="46"/>
      <c r="W24" s="46"/>
      <c r="X24" s="46">
        <v>4143.2</v>
      </c>
      <c r="Y24" s="46"/>
      <c r="Z24" s="46">
        <f t="shared" si="1"/>
        <v>-141.69999999999982</v>
      </c>
      <c r="AA24" s="39">
        <f t="shared" si="2"/>
        <v>-3.5411720604773163E-2</v>
      </c>
      <c r="AB24" s="73">
        <v>4001.52</v>
      </c>
      <c r="AC24" s="73"/>
      <c r="AD24" s="73"/>
      <c r="AE24" s="39"/>
      <c r="AF24" s="74"/>
      <c r="AG24" s="74"/>
      <c r="AH24" s="75"/>
      <c r="AI24" s="75">
        <f t="shared" si="3"/>
        <v>0</v>
      </c>
      <c r="AJ24" s="32"/>
      <c r="AK24" s="32"/>
      <c r="AL24" s="32"/>
      <c r="AM24" s="33"/>
      <c r="AN24" s="33"/>
      <c r="AO24" s="33"/>
      <c r="AP24" s="34">
        <f t="shared" si="4"/>
        <v>0</v>
      </c>
      <c r="AQ24" s="32">
        <f t="shared" si="5"/>
        <v>0</v>
      </c>
      <c r="AR24" s="32">
        <f t="shared" si="6"/>
        <v>0</v>
      </c>
      <c r="AS24" s="32"/>
      <c r="AT24" s="32"/>
      <c r="AU24" s="32"/>
      <c r="AV24" s="32"/>
      <c r="AW24" s="32"/>
      <c r="AX24" s="32"/>
      <c r="AY24" s="32"/>
      <c r="AZ24" s="35"/>
      <c r="BB24" s="45">
        <f t="shared" si="7"/>
        <v>4001.52</v>
      </c>
      <c r="BC24" s="45">
        <f t="shared" si="8"/>
        <v>4143.2</v>
      </c>
      <c r="BD24" s="45"/>
      <c r="BE24" s="45">
        <f t="shared" si="16"/>
        <v>-141.67999999999984</v>
      </c>
      <c r="BF24" s="39">
        <f t="shared" si="17"/>
        <v>-3.5406545512705133E-2</v>
      </c>
    </row>
    <row r="25" spans="1:58" s="20" customFormat="1" ht="12.75" x14ac:dyDescent="0.2">
      <c r="A25" s="21">
        <f>IF(ISBLANK(F25),"",COUNTA($F$6:F25))</f>
        <v>20</v>
      </c>
      <c r="B25" s="37" t="s">
        <v>60</v>
      </c>
      <c r="C25" s="37" t="s">
        <v>61</v>
      </c>
      <c r="D25" s="22"/>
      <c r="E25" s="23" t="s">
        <v>64</v>
      </c>
      <c r="F25" s="36">
        <v>46210</v>
      </c>
      <c r="G25" s="24" t="s">
        <v>59</v>
      </c>
      <c r="H25" s="24">
        <v>58</v>
      </c>
      <c r="I25" s="24">
        <v>2</v>
      </c>
      <c r="J25" s="24" t="s">
        <v>64</v>
      </c>
      <c r="K25" s="25">
        <v>162004315</v>
      </c>
      <c r="L25" s="26">
        <v>46210</v>
      </c>
      <c r="M25" s="38">
        <v>46212</v>
      </c>
      <c r="N25" s="52">
        <v>16341</v>
      </c>
      <c r="O25" s="27"/>
      <c r="P25" s="27"/>
      <c r="Q25" s="27"/>
      <c r="R25" s="46">
        <v>5005.8</v>
      </c>
      <c r="S25" s="46">
        <v>1176.3000000000002</v>
      </c>
      <c r="T25" s="46">
        <f t="shared" si="0"/>
        <v>3829.5</v>
      </c>
      <c r="U25" s="46">
        <v>3848.4</v>
      </c>
      <c r="V25" s="46"/>
      <c r="W25" s="46"/>
      <c r="X25" s="46">
        <v>3770.4</v>
      </c>
      <c r="Y25" s="46"/>
      <c r="Z25" s="46">
        <f t="shared" si="1"/>
        <v>59.099999999999909</v>
      </c>
      <c r="AA25" s="39">
        <f t="shared" si="2"/>
        <v>1.5432824128476279E-2</v>
      </c>
      <c r="AB25" s="73">
        <v>3829.45</v>
      </c>
      <c r="AC25" s="73"/>
      <c r="AD25" s="73"/>
      <c r="AE25" s="39"/>
      <c r="AF25" s="74"/>
      <c r="AG25" s="74"/>
      <c r="AH25" s="75"/>
      <c r="AI25" s="75">
        <f t="shared" si="3"/>
        <v>0</v>
      </c>
      <c r="AJ25" s="32"/>
      <c r="AK25" s="32"/>
      <c r="AL25" s="32"/>
      <c r="AM25" s="33"/>
      <c r="AN25" s="33"/>
      <c r="AO25" s="33"/>
      <c r="AP25" s="34">
        <f t="shared" si="4"/>
        <v>0</v>
      </c>
      <c r="AQ25" s="32">
        <f t="shared" si="5"/>
        <v>0</v>
      </c>
      <c r="AR25" s="32">
        <f t="shared" si="6"/>
        <v>0</v>
      </c>
      <c r="AS25" s="32"/>
      <c r="AT25" s="32"/>
      <c r="AU25" s="32"/>
      <c r="AV25" s="32"/>
      <c r="AW25" s="32"/>
      <c r="AX25" s="32"/>
      <c r="AY25" s="32"/>
      <c r="AZ25" s="35"/>
      <c r="BB25" s="45">
        <f t="shared" si="7"/>
        <v>3829.45</v>
      </c>
      <c r="BC25" s="45">
        <f t="shared" si="8"/>
        <v>3770.4</v>
      </c>
      <c r="BD25" s="45"/>
      <c r="BE25" s="45">
        <f t="shared" ref="BE25:BE116" si="23">+BB25-BC25</f>
        <v>59.049999999999727</v>
      </c>
      <c r="BF25" s="39">
        <f t="shared" ref="BF25:BF116" si="24">+BE25/BB25</f>
        <v>1.5419968925041385E-2</v>
      </c>
    </row>
    <row r="26" spans="1:58" s="20" customFormat="1" ht="12.75" x14ac:dyDescent="0.2">
      <c r="A26" s="21">
        <f>IF(ISBLANK(F26),"",COUNTA($F$6:F26))</f>
        <v>21</v>
      </c>
      <c r="B26" s="37" t="s">
        <v>60</v>
      </c>
      <c r="C26" s="37" t="s">
        <v>61</v>
      </c>
      <c r="D26" s="22"/>
      <c r="E26" s="23" t="s">
        <v>65</v>
      </c>
      <c r="F26" s="36">
        <v>46210</v>
      </c>
      <c r="G26" s="24" t="s">
        <v>59</v>
      </c>
      <c r="H26" s="24">
        <v>58</v>
      </c>
      <c r="I26" s="24">
        <v>1</v>
      </c>
      <c r="J26" s="24" t="s">
        <v>67</v>
      </c>
      <c r="K26" s="25">
        <v>162011619</v>
      </c>
      <c r="L26" s="26">
        <v>46210</v>
      </c>
      <c r="M26" s="38">
        <v>46213</v>
      </c>
      <c r="N26" s="52">
        <v>16349</v>
      </c>
      <c r="O26" s="27"/>
      <c r="P26" s="27"/>
      <c r="Q26" s="27"/>
      <c r="R26" s="46">
        <v>4825.2</v>
      </c>
      <c r="S26" s="46">
        <v>1197</v>
      </c>
      <c r="T26" s="46">
        <f t="shared" si="0"/>
        <v>3628.2</v>
      </c>
      <c r="U26" s="46">
        <v>3918</v>
      </c>
      <c r="V26" s="46"/>
      <c r="W26" s="46"/>
      <c r="X26" s="46">
        <v>3513.2</v>
      </c>
      <c r="Y26" s="46"/>
      <c r="Z26" s="46">
        <f t="shared" si="1"/>
        <v>115</v>
      </c>
      <c r="AA26" s="39">
        <f t="shared" si="2"/>
        <v>3.1696157874428095E-2</v>
      </c>
      <c r="AB26" s="73">
        <v>3629.36</v>
      </c>
      <c r="AC26" s="73"/>
      <c r="AD26" s="73"/>
      <c r="AE26" s="39"/>
      <c r="AF26" s="74"/>
      <c r="AG26" s="74"/>
      <c r="AH26" s="75"/>
      <c r="AI26" s="75">
        <f t="shared" si="3"/>
        <v>0</v>
      </c>
      <c r="AJ26" s="32"/>
      <c r="AK26" s="32"/>
      <c r="AL26" s="32"/>
      <c r="AM26" s="33"/>
      <c r="AN26" s="33"/>
      <c r="AO26" s="33"/>
      <c r="AP26" s="34">
        <f t="shared" si="4"/>
        <v>0</v>
      </c>
      <c r="AQ26" s="32">
        <f t="shared" si="5"/>
        <v>0</v>
      </c>
      <c r="AR26" s="32">
        <f t="shared" si="6"/>
        <v>0</v>
      </c>
      <c r="AS26" s="32"/>
      <c r="AT26" s="32"/>
      <c r="AU26" s="32"/>
      <c r="AV26" s="32"/>
      <c r="AW26" s="32"/>
      <c r="AX26" s="32"/>
      <c r="AY26" s="32"/>
      <c r="AZ26" s="35"/>
      <c r="BB26" s="45">
        <f t="shared" si="7"/>
        <v>3629.36</v>
      </c>
      <c r="BC26" s="45">
        <f t="shared" si="8"/>
        <v>3513.2</v>
      </c>
      <c r="BD26" s="45"/>
      <c r="BE26" s="45">
        <f t="shared" si="23"/>
        <v>116.16000000000031</v>
      </c>
      <c r="BF26" s="39">
        <f t="shared" si="24"/>
        <v>3.2005642868164166E-2</v>
      </c>
    </row>
    <row r="27" spans="1:58" s="20" customFormat="1" ht="12.75" x14ac:dyDescent="0.2">
      <c r="A27" s="21">
        <f>IF(ISBLANK(F27),"",COUNTA($F$6:F27))</f>
        <v>22</v>
      </c>
      <c r="B27" s="37" t="s">
        <v>60</v>
      </c>
      <c r="C27" s="37" t="s">
        <v>61</v>
      </c>
      <c r="D27" s="22"/>
      <c r="E27" s="23" t="s">
        <v>66</v>
      </c>
      <c r="F27" s="36">
        <v>46210</v>
      </c>
      <c r="G27" s="24" t="s">
        <v>59</v>
      </c>
      <c r="H27" s="24">
        <v>59</v>
      </c>
      <c r="I27" s="24">
        <v>0</v>
      </c>
      <c r="J27" s="24" t="s">
        <v>66</v>
      </c>
      <c r="K27" s="25">
        <v>162003167</v>
      </c>
      <c r="L27" s="26">
        <v>46210</v>
      </c>
      <c r="M27" s="38">
        <v>46212</v>
      </c>
      <c r="N27" s="52">
        <v>16342</v>
      </c>
      <c r="O27" s="27"/>
      <c r="P27" s="27"/>
      <c r="Q27" s="27"/>
      <c r="R27" s="46">
        <v>5299.34</v>
      </c>
      <c r="S27" s="46">
        <v>1238.54</v>
      </c>
      <c r="T27" s="46">
        <f t="shared" si="0"/>
        <v>4060.8</v>
      </c>
      <c r="U27" s="46">
        <v>4060</v>
      </c>
      <c r="V27" s="46"/>
      <c r="W27" s="46"/>
      <c r="X27" s="46">
        <v>3937</v>
      </c>
      <c r="Y27" s="46"/>
      <c r="Z27" s="46">
        <f t="shared" si="1"/>
        <v>123.80000000000018</v>
      </c>
      <c r="AA27" s="39">
        <f t="shared" si="2"/>
        <v>3.0486603624901541E-2</v>
      </c>
      <c r="AB27" s="73">
        <v>4060.82</v>
      </c>
      <c r="AC27" s="73"/>
      <c r="AD27" s="73"/>
      <c r="AE27" s="39"/>
      <c r="AF27" s="74"/>
      <c r="AG27" s="74"/>
      <c r="AH27" s="75"/>
      <c r="AI27" s="75">
        <f t="shared" si="3"/>
        <v>0</v>
      </c>
      <c r="AJ27" s="32"/>
      <c r="AK27" s="32"/>
      <c r="AL27" s="32"/>
      <c r="AM27" s="33"/>
      <c r="AN27" s="33"/>
      <c r="AO27" s="33"/>
      <c r="AP27" s="34">
        <f t="shared" si="4"/>
        <v>0</v>
      </c>
      <c r="AQ27" s="32">
        <f t="shared" si="5"/>
        <v>0</v>
      </c>
      <c r="AR27" s="32">
        <f t="shared" si="6"/>
        <v>0</v>
      </c>
      <c r="AS27" s="32"/>
      <c r="AT27" s="32"/>
      <c r="AU27" s="32"/>
      <c r="AV27" s="32"/>
      <c r="AW27" s="32"/>
      <c r="AX27" s="32"/>
      <c r="AY27" s="32"/>
      <c r="AZ27" s="35"/>
      <c r="BB27" s="45">
        <f t="shared" si="7"/>
        <v>4060.82</v>
      </c>
      <c r="BC27" s="45">
        <f t="shared" si="8"/>
        <v>3937</v>
      </c>
      <c r="BD27" s="45"/>
      <c r="BE27" s="45">
        <f t="shared" si="23"/>
        <v>123.82000000000016</v>
      </c>
      <c r="BF27" s="39">
        <f t="shared" si="24"/>
        <v>3.049137858856097E-2</v>
      </c>
    </row>
    <row r="28" spans="1:58" s="20" customFormat="1" ht="12.75" x14ac:dyDescent="0.2">
      <c r="A28" s="21">
        <f>IF(ISBLANK(F28),"",COUNTA($F$6:F28))</f>
        <v>23</v>
      </c>
      <c r="B28" s="37" t="s">
        <v>60</v>
      </c>
      <c r="C28" s="37" t="s">
        <v>61</v>
      </c>
      <c r="D28" s="22"/>
      <c r="E28" s="23" t="s">
        <v>62</v>
      </c>
      <c r="F28" s="36">
        <v>46210</v>
      </c>
      <c r="G28" s="24" t="s">
        <v>59</v>
      </c>
      <c r="H28" s="24">
        <v>58</v>
      </c>
      <c r="I28" s="24">
        <v>0</v>
      </c>
      <c r="J28" s="24" t="s">
        <v>62</v>
      </c>
      <c r="K28" s="25">
        <v>162008430</v>
      </c>
      <c r="L28" s="26">
        <v>46210</v>
      </c>
      <c r="M28" s="38">
        <v>46212</v>
      </c>
      <c r="N28" s="52">
        <v>16346</v>
      </c>
      <c r="O28" s="27"/>
      <c r="P28" s="27"/>
      <c r="Q28" s="27"/>
      <c r="R28" s="46">
        <v>5224.2299999999996</v>
      </c>
      <c r="S28" s="46">
        <v>1225.5299999999997</v>
      </c>
      <c r="T28" s="46">
        <f t="shared" si="0"/>
        <v>3998.7</v>
      </c>
      <c r="U28" s="46">
        <v>3996</v>
      </c>
      <c r="V28" s="46"/>
      <c r="W28" s="46"/>
      <c r="X28" s="46">
        <v>4003.6</v>
      </c>
      <c r="Y28" s="46"/>
      <c r="Z28" s="46">
        <f t="shared" si="1"/>
        <v>-4.9000000000000909</v>
      </c>
      <c r="AA28" s="39">
        <f t="shared" si="2"/>
        <v>-1.2253982544327133E-3</v>
      </c>
      <c r="AB28" s="73">
        <v>3998.68</v>
      </c>
      <c r="AC28" s="73"/>
      <c r="AD28" s="73"/>
      <c r="AE28" s="39"/>
      <c r="AF28" s="74"/>
      <c r="AG28" s="74"/>
      <c r="AH28" s="75"/>
      <c r="AI28" s="75">
        <f t="shared" si="3"/>
        <v>0</v>
      </c>
      <c r="AJ28" s="32"/>
      <c r="AK28" s="32"/>
      <c r="AL28" s="32"/>
      <c r="AM28" s="33"/>
      <c r="AN28" s="33"/>
      <c r="AO28" s="33"/>
      <c r="AP28" s="34">
        <f t="shared" si="4"/>
        <v>0</v>
      </c>
      <c r="AQ28" s="32">
        <f t="shared" si="5"/>
        <v>0</v>
      </c>
      <c r="AR28" s="32">
        <f t="shared" si="6"/>
        <v>0</v>
      </c>
      <c r="AS28" s="32"/>
      <c r="AT28" s="32"/>
      <c r="AU28" s="32"/>
      <c r="AV28" s="32"/>
      <c r="AW28" s="32"/>
      <c r="AX28" s="32"/>
      <c r="AY28" s="32"/>
      <c r="AZ28" s="35"/>
      <c r="BB28" s="45">
        <f t="shared" si="7"/>
        <v>3998.68</v>
      </c>
      <c r="BC28" s="45">
        <f t="shared" si="8"/>
        <v>4003.6</v>
      </c>
      <c r="BD28" s="45"/>
      <c r="BE28" s="45">
        <f t="shared" si="23"/>
        <v>-4.9200000000000728</v>
      </c>
      <c r="BF28" s="39">
        <f t="shared" si="24"/>
        <v>-1.2304060339912353E-3</v>
      </c>
    </row>
    <row r="29" spans="1:58" s="20" customFormat="1" ht="12.75" x14ac:dyDescent="0.2">
      <c r="A29" s="21">
        <f>IF(ISBLANK(F29),"",COUNTA($F$6:F29))</f>
        <v>24</v>
      </c>
      <c r="B29" s="37" t="s">
        <v>60</v>
      </c>
      <c r="C29" s="37" t="s">
        <v>61</v>
      </c>
      <c r="D29" s="22"/>
      <c r="E29" s="23" t="s">
        <v>63</v>
      </c>
      <c r="F29" s="36">
        <v>46210</v>
      </c>
      <c r="G29" s="24" t="s">
        <v>59</v>
      </c>
      <c r="H29" s="24">
        <v>58</v>
      </c>
      <c r="I29" s="24">
        <v>6</v>
      </c>
      <c r="J29" s="24" t="s">
        <v>63</v>
      </c>
      <c r="K29" s="25">
        <v>162006269</v>
      </c>
      <c r="L29" s="26">
        <v>46211</v>
      </c>
      <c r="M29" s="38">
        <v>46212</v>
      </c>
      <c r="N29" s="52">
        <v>16344</v>
      </c>
      <c r="O29" s="27"/>
      <c r="P29" s="27"/>
      <c r="Q29" s="27"/>
      <c r="R29" s="46">
        <v>4660.34</v>
      </c>
      <c r="S29" s="46">
        <v>1097.54</v>
      </c>
      <c r="T29" s="46">
        <f t="shared" si="0"/>
        <v>3562.8</v>
      </c>
      <c r="U29" s="46">
        <v>3568.4</v>
      </c>
      <c r="V29" s="46"/>
      <c r="W29" s="46"/>
      <c r="X29" s="46">
        <v>3510.6</v>
      </c>
      <c r="Y29" s="46"/>
      <c r="Z29" s="46">
        <f t="shared" si="1"/>
        <v>52.200000000000273</v>
      </c>
      <c r="AA29" s="39">
        <f t="shared" si="2"/>
        <v>1.4651397777029378E-2</v>
      </c>
      <c r="AB29" s="73">
        <v>3562.75</v>
      </c>
      <c r="AC29" s="73"/>
      <c r="AD29" s="73"/>
      <c r="AE29" s="39"/>
      <c r="AF29" s="74"/>
      <c r="AG29" s="74"/>
      <c r="AH29" s="75"/>
      <c r="AI29" s="75">
        <f t="shared" si="3"/>
        <v>0</v>
      </c>
      <c r="AJ29" s="32"/>
      <c r="AK29" s="32"/>
      <c r="AL29" s="32"/>
      <c r="AM29" s="33"/>
      <c r="AN29" s="33"/>
      <c r="AO29" s="33"/>
      <c r="AP29" s="34">
        <f t="shared" si="4"/>
        <v>0</v>
      </c>
      <c r="AQ29" s="32">
        <f t="shared" si="5"/>
        <v>0</v>
      </c>
      <c r="AR29" s="32">
        <f t="shared" si="6"/>
        <v>0</v>
      </c>
      <c r="AS29" s="32"/>
      <c r="AT29" s="32"/>
      <c r="AU29" s="32"/>
      <c r="AV29" s="32"/>
      <c r="AW29" s="32"/>
      <c r="AX29" s="32"/>
      <c r="AY29" s="32"/>
      <c r="AZ29" s="35"/>
      <c r="BB29" s="45">
        <f t="shared" si="7"/>
        <v>3562.75</v>
      </c>
      <c r="BC29" s="45">
        <f t="shared" si="8"/>
        <v>3510.6</v>
      </c>
      <c r="BD29" s="45"/>
      <c r="BE29" s="45">
        <f t="shared" si="23"/>
        <v>52.150000000000091</v>
      </c>
      <c r="BF29" s="39">
        <f t="shared" si="24"/>
        <v>1.4637569293382946E-2</v>
      </c>
    </row>
    <row r="30" spans="1:58" s="20" customFormat="1" ht="12.75" x14ac:dyDescent="0.2">
      <c r="A30" s="21">
        <f>IF(ISBLANK(F30),"",COUNTA($F$6:F30))</f>
        <v>25</v>
      </c>
      <c r="B30" s="37" t="s">
        <v>60</v>
      </c>
      <c r="C30" s="37" t="s">
        <v>61</v>
      </c>
      <c r="D30" s="22"/>
      <c r="E30" s="23" t="s">
        <v>62</v>
      </c>
      <c r="F30" s="36">
        <v>46211</v>
      </c>
      <c r="G30" s="24" t="s">
        <v>69</v>
      </c>
      <c r="H30" s="24">
        <v>59</v>
      </c>
      <c r="I30" s="24">
        <v>1</v>
      </c>
      <c r="J30" s="24" t="s">
        <v>62</v>
      </c>
      <c r="K30" s="25">
        <v>162008432</v>
      </c>
      <c r="L30" s="26">
        <v>46211</v>
      </c>
      <c r="M30" s="38">
        <v>46213</v>
      </c>
      <c r="N30" s="52">
        <v>16351</v>
      </c>
      <c r="O30" s="27"/>
      <c r="P30" s="27"/>
      <c r="Q30" s="27"/>
      <c r="R30" s="46">
        <v>5191.4399999999996</v>
      </c>
      <c r="S30" s="46">
        <v>1151.3399999999997</v>
      </c>
      <c r="T30" s="46">
        <f t="shared" si="0"/>
        <v>4040.1</v>
      </c>
      <c r="U30" s="46">
        <v>4045.6</v>
      </c>
      <c r="V30" s="46"/>
      <c r="W30" s="46"/>
      <c r="X30" s="46">
        <v>4029.4</v>
      </c>
      <c r="Y30" s="46"/>
      <c r="Z30" s="46">
        <f t="shared" si="1"/>
        <v>10.699999999999818</v>
      </c>
      <c r="AA30" s="39">
        <f t="shared" si="2"/>
        <v>2.6484492958094648E-3</v>
      </c>
      <c r="AB30" s="73">
        <v>4040.14</v>
      </c>
      <c r="AC30" s="73"/>
      <c r="AD30" s="73"/>
      <c r="AE30" s="39"/>
      <c r="AF30" s="74"/>
      <c r="AG30" s="74"/>
      <c r="AH30" s="75"/>
      <c r="AI30" s="75">
        <f t="shared" si="3"/>
        <v>0</v>
      </c>
      <c r="AJ30" s="32"/>
      <c r="AK30" s="32"/>
      <c r="AL30" s="32"/>
      <c r="AM30" s="33"/>
      <c r="AN30" s="33"/>
      <c r="AO30" s="33"/>
      <c r="AP30" s="34">
        <f t="shared" si="4"/>
        <v>0</v>
      </c>
      <c r="AQ30" s="32">
        <f t="shared" si="5"/>
        <v>0</v>
      </c>
      <c r="AR30" s="32">
        <f t="shared" si="6"/>
        <v>0</v>
      </c>
      <c r="AS30" s="32"/>
      <c r="AT30" s="32"/>
      <c r="AU30" s="32"/>
      <c r="AV30" s="32"/>
      <c r="AW30" s="32"/>
      <c r="AX30" s="32"/>
      <c r="AY30" s="32"/>
      <c r="AZ30" s="35"/>
      <c r="BB30" s="45">
        <f t="shared" si="7"/>
        <v>4040.14</v>
      </c>
      <c r="BC30" s="45">
        <f t="shared" si="8"/>
        <v>4029.4</v>
      </c>
      <c r="BD30" s="45"/>
      <c r="BE30" s="45">
        <f t="shared" si="23"/>
        <v>10.739999999999782</v>
      </c>
      <c r="BF30" s="39">
        <f t="shared" si="24"/>
        <v>2.6583237214551432E-3</v>
      </c>
    </row>
    <row r="31" spans="1:58" s="20" customFormat="1" ht="12.75" x14ac:dyDescent="0.2">
      <c r="A31" s="21">
        <f>IF(ISBLANK(F31),"",COUNTA($F$6:F31))</f>
        <v>26</v>
      </c>
      <c r="B31" s="37" t="s">
        <v>60</v>
      </c>
      <c r="C31" s="37" t="s">
        <v>61</v>
      </c>
      <c r="D31" s="22"/>
      <c r="E31" s="23" t="s">
        <v>66</v>
      </c>
      <c r="F31" s="36">
        <v>46211</v>
      </c>
      <c r="G31" s="24" t="s">
        <v>59</v>
      </c>
      <c r="H31" s="24">
        <v>58</v>
      </c>
      <c r="I31" s="24">
        <v>0</v>
      </c>
      <c r="J31" s="24" t="s">
        <v>66</v>
      </c>
      <c r="K31" s="25">
        <v>162003169</v>
      </c>
      <c r="L31" s="26">
        <v>46211</v>
      </c>
      <c r="M31" s="38">
        <v>46212</v>
      </c>
      <c r="N31" s="52">
        <v>16347</v>
      </c>
      <c r="O31" s="27"/>
      <c r="P31" s="27"/>
      <c r="Q31" s="27"/>
      <c r="R31" s="46">
        <v>5200.13</v>
      </c>
      <c r="S31" s="46">
        <v>1204.23</v>
      </c>
      <c r="T31" s="46">
        <f t="shared" si="0"/>
        <v>3995.9</v>
      </c>
      <c r="U31" s="46">
        <v>3996</v>
      </c>
      <c r="V31" s="46"/>
      <c r="W31" s="46"/>
      <c r="X31" s="46">
        <v>3889</v>
      </c>
      <c r="Y31" s="46"/>
      <c r="Z31" s="46">
        <f t="shared" si="1"/>
        <v>106.90000000000009</v>
      </c>
      <c r="AA31" s="39">
        <f t="shared" si="2"/>
        <v>2.675242123176258E-2</v>
      </c>
      <c r="AB31" s="73">
        <v>3995.9</v>
      </c>
      <c r="AC31" s="73"/>
      <c r="AD31" s="73"/>
      <c r="AE31" s="39"/>
      <c r="AF31" s="74"/>
      <c r="AG31" s="74"/>
      <c r="AH31" s="75"/>
      <c r="AI31" s="75">
        <f t="shared" si="3"/>
        <v>0</v>
      </c>
      <c r="AJ31" s="32"/>
      <c r="AK31" s="32"/>
      <c r="AL31" s="32"/>
      <c r="AM31" s="33"/>
      <c r="AN31" s="33"/>
      <c r="AO31" s="33"/>
      <c r="AP31" s="34">
        <f t="shared" si="4"/>
        <v>0</v>
      </c>
      <c r="AQ31" s="32">
        <f t="shared" si="5"/>
        <v>0</v>
      </c>
      <c r="AR31" s="32">
        <f t="shared" si="6"/>
        <v>0</v>
      </c>
      <c r="AS31" s="32"/>
      <c r="AT31" s="32"/>
      <c r="AU31" s="32"/>
      <c r="AV31" s="32"/>
      <c r="AW31" s="32"/>
      <c r="AX31" s="32"/>
      <c r="AY31" s="32"/>
      <c r="AZ31" s="35"/>
      <c r="BB31" s="45">
        <f t="shared" si="7"/>
        <v>3995.9</v>
      </c>
      <c r="BC31" s="45">
        <f t="shared" si="8"/>
        <v>3889</v>
      </c>
      <c r="BD31" s="45"/>
      <c r="BE31" s="45">
        <f t="shared" si="23"/>
        <v>106.90000000000009</v>
      </c>
      <c r="BF31" s="39">
        <f t="shared" si="24"/>
        <v>2.675242123176258E-2</v>
      </c>
    </row>
    <row r="32" spans="1:58" s="20" customFormat="1" ht="12.75" x14ac:dyDescent="0.2">
      <c r="A32" s="21">
        <f>IF(ISBLANK(F32),"",COUNTA($F$6:F32))</f>
        <v>27</v>
      </c>
      <c r="B32" s="37" t="s">
        <v>60</v>
      </c>
      <c r="C32" s="37" t="s">
        <v>61</v>
      </c>
      <c r="D32" s="22"/>
      <c r="E32" s="23" t="s">
        <v>65</v>
      </c>
      <c r="F32" s="36">
        <v>46211</v>
      </c>
      <c r="G32" s="24" t="s">
        <v>59</v>
      </c>
      <c r="H32" s="24">
        <v>58</v>
      </c>
      <c r="I32" s="24">
        <v>4</v>
      </c>
      <c r="J32" s="24" t="s">
        <v>67</v>
      </c>
      <c r="K32" s="25">
        <v>162011622</v>
      </c>
      <c r="L32" s="26">
        <v>46212</v>
      </c>
      <c r="M32" s="38">
        <v>46213</v>
      </c>
      <c r="N32" s="52">
        <v>16354</v>
      </c>
      <c r="O32" s="27"/>
      <c r="P32" s="27"/>
      <c r="Q32" s="27"/>
      <c r="R32" s="46">
        <v>4705.8</v>
      </c>
      <c r="S32" s="46">
        <v>1132.2000000000003</v>
      </c>
      <c r="T32" s="46">
        <f t="shared" ref="T32:T53" si="25">+R32-S32</f>
        <v>3573.6</v>
      </c>
      <c r="U32" s="46">
        <v>3717.2</v>
      </c>
      <c r="V32" s="46"/>
      <c r="W32" s="46"/>
      <c r="X32" s="46">
        <v>3450.6</v>
      </c>
      <c r="Y32" s="46"/>
      <c r="Z32" s="46">
        <f t="shared" si="1"/>
        <v>123</v>
      </c>
      <c r="AA32" s="39">
        <f t="shared" si="2"/>
        <v>3.441907320349228E-2</v>
      </c>
      <c r="AB32" s="73">
        <v>3588.9</v>
      </c>
      <c r="AC32" s="73"/>
      <c r="AD32" s="73"/>
      <c r="AE32" s="39"/>
      <c r="AF32" s="74"/>
      <c r="AG32" s="74"/>
      <c r="AH32" s="75"/>
      <c r="AI32" s="75">
        <f t="shared" ref="AI32:AI53" si="26">+AG32+AH32</f>
        <v>0</v>
      </c>
      <c r="AJ32" s="32"/>
      <c r="AK32" s="32"/>
      <c r="AL32" s="32"/>
      <c r="AM32" s="33"/>
      <c r="AN32" s="33"/>
      <c r="AO32" s="33"/>
      <c r="AP32" s="34">
        <f t="shared" ref="AP32:AP53" si="27">ROUNDUP((AO32-AM32+(AO32&lt;AM32))*24,0)</f>
        <v>0</v>
      </c>
      <c r="AQ32" s="32">
        <f t="shared" ref="AQ32:AQ53" si="28">IF(AP32&gt;5,(AP32-5),0)</f>
        <v>0</v>
      </c>
      <c r="AR32" s="32">
        <f t="shared" ref="AR32:AR53" si="29">+AQ32*8850</f>
        <v>0</v>
      </c>
      <c r="AS32" s="32"/>
      <c r="AT32" s="32"/>
      <c r="AU32" s="32"/>
      <c r="AV32" s="32"/>
      <c r="AW32" s="32"/>
      <c r="AX32" s="32"/>
      <c r="AY32" s="32"/>
      <c r="AZ32" s="35"/>
      <c r="BB32" s="45">
        <f t="shared" si="7"/>
        <v>3588.9</v>
      </c>
      <c r="BC32" s="45">
        <f t="shared" si="8"/>
        <v>3450.6</v>
      </c>
      <c r="BD32" s="45"/>
      <c r="BE32" s="45">
        <f t="shared" ref="BE32:BE53" si="30">+BB32-BC32</f>
        <v>138.30000000000018</v>
      </c>
      <c r="BF32" s="39">
        <f t="shared" ref="BF32:BF53" si="31">+BE32/BB32</f>
        <v>3.8535484410265032E-2</v>
      </c>
    </row>
    <row r="33" spans="1:58" s="20" customFormat="1" ht="12.75" x14ac:dyDescent="0.2">
      <c r="A33" s="21">
        <f>IF(ISBLANK(F33),"",COUNTA($F$6:F33))</f>
        <v>28</v>
      </c>
      <c r="B33" s="37" t="s">
        <v>60</v>
      </c>
      <c r="C33" s="37" t="s">
        <v>61</v>
      </c>
      <c r="D33" s="22"/>
      <c r="E33" s="23" t="s">
        <v>62</v>
      </c>
      <c r="F33" s="36">
        <v>46211</v>
      </c>
      <c r="G33" s="24" t="s">
        <v>59</v>
      </c>
      <c r="H33" s="24">
        <v>58</v>
      </c>
      <c r="I33" s="24">
        <v>6</v>
      </c>
      <c r="J33" s="24" t="s">
        <v>62</v>
      </c>
      <c r="K33" s="25">
        <v>162008435</v>
      </c>
      <c r="L33" s="26">
        <v>46211</v>
      </c>
      <c r="M33" s="38">
        <v>46213</v>
      </c>
      <c r="N33" s="52">
        <v>16353</v>
      </c>
      <c r="O33" s="27"/>
      <c r="P33" s="27"/>
      <c r="Q33" s="27"/>
      <c r="R33" s="46">
        <v>4687.58</v>
      </c>
      <c r="S33" s="46">
        <v>1094.1799999999998</v>
      </c>
      <c r="T33" s="46">
        <f t="shared" ref="T33:T41" si="32">+R33-S33</f>
        <v>3593.4</v>
      </c>
      <c r="U33" s="46">
        <v>3585</v>
      </c>
      <c r="V33" s="46"/>
      <c r="W33" s="46"/>
      <c r="X33" s="46">
        <v>3699.2</v>
      </c>
      <c r="Y33" s="46"/>
      <c r="Z33" s="46">
        <f t="shared" si="1"/>
        <v>-105.79999999999973</v>
      </c>
      <c r="AA33" s="39">
        <f t="shared" si="2"/>
        <v>-2.944286747926747E-2</v>
      </c>
      <c r="AB33" s="73">
        <v>3593.44</v>
      </c>
      <c r="AC33" s="73"/>
      <c r="AD33" s="73"/>
      <c r="AE33" s="39"/>
      <c r="AF33" s="74"/>
      <c r="AG33" s="74"/>
      <c r="AH33" s="75"/>
      <c r="AI33" s="75">
        <f t="shared" ref="AI33:AI41" si="33">+AG33+AH33</f>
        <v>0</v>
      </c>
      <c r="AJ33" s="32"/>
      <c r="AK33" s="32"/>
      <c r="AL33" s="32"/>
      <c r="AM33" s="33"/>
      <c r="AN33" s="33"/>
      <c r="AO33" s="33"/>
      <c r="AP33" s="34">
        <f t="shared" ref="AP33:AP41" si="34">ROUNDUP((AO33-AM33+(AO33&lt;AM33))*24,0)</f>
        <v>0</v>
      </c>
      <c r="AQ33" s="32">
        <f t="shared" ref="AQ33:AQ41" si="35">IF(AP33&gt;5,(AP33-5),0)</f>
        <v>0</v>
      </c>
      <c r="AR33" s="32">
        <f t="shared" ref="AR33:AR41" si="36">+AQ33*8850</f>
        <v>0</v>
      </c>
      <c r="AS33" s="32"/>
      <c r="AT33" s="32"/>
      <c r="AU33" s="32"/>
      <c r="AV33" s="32"/>
      <c r="AW33" s="32"/>
      <c r="AX33" s="32"/>
      <c r="AY33" s="32"/>
      <c r="AZ33" s="35"/>
      <c r="BB33" s="45">
        <f t="shared" si="7"/>
        <v>3593.44</v>
      </c>
      <c r="BC33" s="45">
        <f t="shared" si="8"/>
        <v>3699.2</v>
      </c>
      <c r="BD33" s="45"/>
      <c r="BE33" s="45">
        <f t="shared" ref="BE33:BE41" si="37">+BB33-BC33</f>
        <v>-105.75999999999976</v>
      </c>
      <c r="BF33" s="39">
        <f t="shared" ref="BF33:BF41" si="38">+BE33/BB33</f>
        <v>-2.9431408344093614E-2</v>
      </c>
    </row>
    <row r="34" spans="1:58" s="20" customFormat="1" ht="12.75" x14ac:dyDescent="0.2">
      <c r="A34" s="21">
        <f>IF(ISBLANK(F34),"",COUNTA($F$6:F34))</f>
        <v>29</v>
      </c>
      <c r="B34" s="37" t="s">
        <v>60</v>
      </c>
      <c r="C34" s="37" t="s">
        <v>61</v>
      </c>
      <c r="D34" s="22"/>
      <c r="E34" s="23" t="s">
        <v>66</v>
      </c>
      <c r="F34" s="36">
        <v>46212</v>
      </c>
      <c r="G34" s="24" t="s">
        <v>59</v>
      </c>
      <c r="H34" s="24">
        <v>58</v>
      </c>
      <c r="I34" s="24">
        <v>2</v>
      </c>
      <c r="J34" s="24" t="s">
        <v>66</v>
      </c>
      <c r="K34" s="25">
        <v>162003170</v>
      </c>
      <c r="L34" s="26">
        <v>46212</v>
      </c>
      <c r="M34" s="38">
        <v>46213</v>
      </c>
      <c r="N34" s="52">
        <v>16352</v>
      </c>
      <c r="O34" s="27"/>
      <c r="P34" s="27"/>
      <c r="Q34" s="27"/>
      <c r="R34" s="46">
        <v>5018.75</v>
      </c>
      <c r="S34" s="46">
        <v>1183.9499999999998</v>
      </c>
      <c r="T34" s="46">
        <f t="shared" si="32"/>
        <v>3834.8</v>
      </c>
      <c r="U34" s="46">
        <v>3834.8</v>
      </c>
      <c r="V34" s="46"/>
      <c r="W34" s="46"/>
      <c r="X34" s="46">
        <v>3743.2</v>
      </c>
      <c r="Y34" s="46"/>
      <c r="Z34" s="46">
        <f t="shared" si="1"/>
        <v>91.600000000000364</v>
      </c>
      <c r="AA34" s="39">
        <f t="shared" si="2"/>
        <v>2.3886512986335758E-2</v>
      </c>
      <c r="AB34" s="73">
        <v>3834.78</v>
      </c>
      <c r="AC34" s="73"/>
      <c r="AD34" s="73"/>
      <c r="AE34" s="39"/>
      <c r="AF34" s="74"/>
      <c r="AG34" s="74"/>
      <c r="AH34" s="75"/>
      <c r="AI34" s="75">
        <f t="shared" si="33"/>
        <v>0</v>
      </c>
      <c r="AJ34" s="32"/>
      <c r="AK34" s="32"/>
      <c r="AL34" s="32"/>
      <c r="AM34" s="33"/>
      <c r="AN34" s="33"/>
      <c r="AO34" s="33"/>
      <c r="AP34" s="34">
        <f t="shared" si="34"/>
        <v>0</v>
      </c>
      <c r="AQ34" s="32">
        <f t="shared" si="35"/>
        <v>0</v>
      </c>
      <c r="AR34" s="32">
        <f t="shared" si="36"/>
        <v>0</v>
      </c>
      <c r="AS34" s="32"/>
      <c r="AT34" s="32"/>
      <c r="AU34" s="32"/>
      <c r="AV34" s="32"/>
      <c r="AW34" s="32"/>
      <c r="AX34" s="32"/>
      <c r="AY34" s="32"/>
      <c r="AZ34" s="35"/>
      <c r="BB34" s="45">
        <f t="shared" si="7"/>
        <v>3834.78</v>
      </c>
      <c r="BC34" s="45">
        <f t="shared" si="8"/>
        <v>3743.2</v>
      </c>
      <c r="BD34" s="45"/>
      <c r="BE34" s="45">
        <f t="shared" si="37"/>
        <v>91.580000000000382</v>
      </c>
      <c r="BF34" s="39">
        <f t="shared" si="38"/>
        <v>2.3881422141557109E-2</v>
      </c>
    </row>
    <row r="35" spans="1:58" s="20" customFormat="1" ht="12.75" x14ac:dyDescent="0.2">
      <c r="A35" s="21">
        <f>IF(ISBLANK(F35),"",COUNTA($F$6:F35))</f>
        <v>30</v>
      </c>
      <c r="B35" s="37" t="s">
        <v>60</v>
      </c>
      <c r="C35" s="37" t="s">
        <v>61</v>
      </c>
      <c r="D35" s="22"/>
      <c r="E35" s="23" t="s">
        <v>63</v>
      </c>
      <c r="F35" s="36">
        <v>46212</v>
      </c>
      <c r="G35" s="24" t="s">
        <v>59</v>
      </c>
      <c r="H35" s="24">
        <v>59</v>
      </c>
      <c r="I35" s="24">
        <v>1</v>
      </c>
      <c r="J35" s="24" t="s">
        <v>63</v>
      </c>
      <c r="K35" s="25">
        <v>162006274</v>
      </c>
      <c r="L35" s="26">
        <v>46212</v>
      </c>
      <c r="M35" s="38">
        <v>46214</v>
      </c>
      <c r="N35" s="52">
        <v>16356</v>
      </c>
      <c r="O35" s="27"/>
      <c r="P35" s="27"/>
      <c r="Q35" s="27"/>
      <c r="R35" s="46">
        <v>5207.05</v>
      </c>
      <c r="S35" s="46">
        <v>1194.75</v>
      </c>
      <c r="T35" s="46">
        <f t="shared" si="32"/>
        <v>4012.3</v>
      </c>
      <c r="U35" s="46">
        <v>4011</v>
      </c>
      <c r="V35" s="46"/>
      <c r="W35" s="46"/>
      <c r="X35" s="46">
        <v>3968</v>
      </c>
      <c r="Y35" s="46"/>
      <c r="Z35" s="46">
        <f t="shared" si="1"/>
        <v>44.300000000000182</v>
      </c>
      <c r="AA35" s="39">
        <f t="shared" si="2"/>
        <v>1.1041048775016868E-2</v>
      </c>
      <c r="AB35" s="73">
        <v>4012.25</v>
      </c>
      <c r="AC35" s="73"/>
      <c r="AD35" s="73"/>
      <c r="AE35" s="39"/>
      <c r="AF35" s="74"/>
      <c r="AG35" s="74"/>
      <c r="AH35" s="75"/>
      <c r="AI35" s="75">
        <f t="shared" si="33"/>
        <v>0</v>
      </c>
      <c r="AJ35" s="32"/>
      <c r="AK35" s="32"/>
      <c r="AL35" s="32"/>
      <c r="AM35" s="33"/>
      <c r="AN35" s="33"/>
      <c r="AO35" s="33"/>
      <c r="AP35" s="34">
        <f t="shared" si="34"/>
        <v>0</v>
      </c>
      <c r="AQ35" s="32">
        <f t="shared" si="35"/>
        <v>0</v>
      </c>
      <c r="AR35" s="32">
        <f t="shared" si="36"/>
        <v>0</v>
      </c>
      <c r="AS35" s="32"/>
      <c r="AT35" s="32"/>
      <c r="AU35" s="32"/>
      <c r="AV35" s="32"/>
      <c r="AW35" s="32"/>
      <c r="AX35" s="32"/>
      <c r="AY35" s="32"/>
      <c r="AZ35" s="35"/>
      <c r="BB35" s="45">
        <f t="shared" si="7"/>
        <v>4012.25</v>
      </c>
      <c r="BC35" s="45">
        <f t="shared" si="8"/>
        <v>3968</v>
      </c>
      <c r="BD35" s="45"/>
      <c r="BE35" s="45">
        <f t="shared" si="37"/>
        <v>44.25</v>
      </c>
      <c r="BF35" s="39">
        <f t="shared" si="38"/>
        <v>1.1028724531123435E-2</v>
      </c>
    </row>
    <row r="36" spans="1:58" s="20" customFormat="1" ht="12.75" x14ac:dyDescent="0.2">
      <c r="A36" s="21">
        <f>IF(ISBLANK(F36),"",COUNTA($F$6:F36))</f>
        <v>31</v>
      </c>
      <c r="B36" s="37" t="s">
        <v>60</v>
      </c>
      <c r="C36" s="37" t="s">
        <v>61</v>
      </c>
      <c r="D36" s="22"/>
      <c r="E36" s="23" t="s">
        <v>65</v>
      </c>
      <c r="F36" s="36">
        <v>46212</v>
      </c>
      <c r="G36" s="24" t="s">
        <v>59</v>
      </c>
      <c r="H36" s="24">
        <v>58</v>
      </c>
      <c r="I36" s="24">
        <v>6</v>
      </c>
      <c r="J36" s="24" t="s">
        <v>67</v>
      </c>
      <c r="K36" s="25">
        <v>162011625</v>
      </c>
      <c r="L36" s="26">
        <v>46213</v>
      </c>
      <c r="M36" s="38">
        <v>46214</v>
      </c>
      <c r="N36" s="52">
        <v>16357</v>
      </c>
      <c r="O36" s="27"/>
      <c r="P36" s="27"/>
      <c r="Q36" s="27"/>
      <c r="R36" s="46">
        <v>4613.7299999999996</v>
      </c>
      <c r="S36" s="46">
        <v>1090.4299999999994</v>
      </c>
      <c r="T36" s="46">
        <f t="shared" si="32"/>
        <v>3523.3</v>
      </c>
      <c r="U36" s="46">
        <v>3596.2</v>
      </c>
      <c r="V36" s="46"/>
      <c r="W36" s="46"/>
      <c r="X36" s="46">
        <v>3388.2</v>
      </c>
      <c r="Y36" s="46"/>
      <c r="Z36" s="46">
        <f t="shared" si="1"/>
        <v>135.10000000000036</v>
      </c>
      <c r="AA36" s="39">
        <f t="shared" si="2"/>
        <v>3.8344733630403416E-2</v>
      </c>
      <c r="AB36" s="73">
        <v>3616.08</v>
      </c>
      <c r="AC36" s="73"/>
      <c r="AD36" s="73"/>
      <c r="AE36" s="39"/>
      <c r="AF36" s="74"/>
      <c r="AG36" s="74"/>
      <c r="AH36" s="75"/>
      <c r="AI36" s="75">
        <f t="shared" si="33"/>
        <v>0</v>
      </c>
      <c r="AJ36" s="32"/>
      <c r="AK36" s="32"/>
      <c r="AL36" s="32"/>
      <c r="AM36" s="33"/>
      <c r="AN36" s="33"/>
      <c r="AO36" s="33"/>
      <c r="AP36" s="34">
        <f t="shared" si="34"/>
        <v>0</v>
      </c>
      <c r="AQ36" s="32">
        <f t="shared" si="35"/>
        <v>0</v>
      </c>
      <c r="AR36" s="32">
        <f t="shared" si="36"/>
        <v>0</v>
      </c>
      <c r="AS36" s="32"/>
      <c r="AT36" s="32"/>
      <c r="AU36" s="32"/>
      <c r="AV36" s="32"/>
      <c r="AW36" s="32"/>
      <c r="AX36" s="32"/>
      <c r="AY36" s="32"/>
      <c r="AZ36" s="35"/>
      <c r="BB36" s="45">
        <f t="shared" si="7"/>
        <v>3616.08</v>
      </c>
      <c r="BC36" s="45">
        <f t="shared" si="8"/>
        <v>3388.2</v>
      </c>
      <c r="BD36" s="45"/>
      <c r="BE36" s="45">
        <f t="shared" si="37"/>
        <v>227.88000000000011</v>
      </c>
      <c r="BF36" s="39">
        <f t="shared" si="38"/>
        <v>6.3018517289440537E-2</v>
      </c>
    </row>
    <row r="37" spans="1:58" s="20" customFormat="1" ht="12.75" x14ac:dyDescent="0.2">
      <c r="A37" s="21">
        <f>IF(ISBLANK(F37),"",COUNTA($F$6:F37))</f>
        <v>32</v>
      </c>
      <c r="B37" s="37" t="s">
        <v>60</v>
      </c>
      <c r="C37" s="37" t="s">
        <v>61</v>
      </c>
      <c r="D37" s="22"/>
      <c r="E37" s="23" t="s">
        <v>62</v>
      </c>
      <c r="F37" s="36">
        <v>46212</v>
      </c>
      <c r="G37" s="24" t="s">
        <v>59</v>
      </c>
      <c r="H37" s="24">
        <v>59</v>
      </c>
      <c r="I37" s="24">
        <v>2</v>
      </c>
      <c r="J37" s="24" t="s">
        <v>62</v>
      </c>
      <c r="K37" s="25">
        <v>162008440</v>
      </c>
      <c r="L37" s="26">
        <v>46212</v>
      </c>
      <c r="M37" s="38">
        <v>46214</v>
      </c>
      <c r="N37" s="52">
        <v>16358</v>
      </c>
      <c r="O37" s="27"/>
      <c r="P37" s="27"/>
      <c r="Q37" s="27"/>
      <c r="R37" s="46">
        <v>5125.76</v>
      </c>
      <c r="S37" s="46">
        <v>1193.1600000000003</v>
      </c>
      <c r="T37" s="46">
        <f t="shared" si="32"/>
        <v>3932.6</v>
      </c>
      <c r="U37" s="46">
        <v>3937.4</v>
      </c>
      <c r="V37" s="46"/>
      <c r="W37" s="46"/>
      <c r="X37" s="46">
        <v>3912</v>
      </c>
      <c r="Y37" s="46"/>
      <c r="Z37" s="46">
        <f t="shared" si="1"/>
        <v>20.599999999999909</v>
      </c>
      <c r="AA37" s="39">
        <f t="shared" si="2"/>
        <v>5.2382647612266462E-3</v>
      </c>
      <c r="AB37" s="73">
        <v>3932.58</v>
      </c>
      <c r="AC37" s="73"/>
      <c r="AD37" s="73"/>
      <c r="AE37" s="39"/>
      <c r="AF37" s="74"/>
      <c r="AG37" s="74"/>
      <c r="AH37" s="75"/>
      <c r="AI37" s="75">
        <f t="shared" si="33"/>
        <v>0</v>
      </c>
      <c r="AJ37" s="32"/>
      <c r="AK37" s="32"/>
      <c r="AL37" s="32"/>
      <c r="AM37" s="33"/>
      <c r="AN37" s="33"/>
      <c r="AO37" s="33"/>
      <c r="AP37" s="34">
        <f t="shared" si="34"/>
        <v>0</v>
      </c>
      <c r="AQ37" s="32">
        <f t="shared" si="35"/>
        <v>0</v>
      </c>
      <c r="AR37" s="32">
        <f t="shared" si="36"/>
        <v>0</v>
      </c>
      <c r="AS37" s="32"/>
      <c r="AT37" s="32"/>
      <c r="AU37" s="32"/>
      <c r="AV37" s="32"/>
      <c r="AW37" s="32"/>
      <c r="AX37" s="32"/>
      <c r="AY37" s="32"/>
      <c r="AZ37" s="35"/>
      <c r="BB37" s="45">
        <f t="shared" si="7"/>
        <v>3932.58</v>
      </c>
      <c r="BC37" s="45">
        <f t="shared" si="8"/>
        <v>3912</v>
      </c>
      <c r="BD37" s="45"/>
      <c r="BE37" s="45">
        <f t="shared" si="37"/>
        <v>20.579999999999927</v>
      </c>
      <c r="BF37" s="39">
        <f t="shared" si="38"/>
        <v>5.2332056817661508E-3</v>
      </c>
    </row>
    <row r="38" spans="1:58" s="20" customFormat="1" ht="12.75" x14ac:dyDescent="0.2">
      <c r="A38" s="21">
        <f>IF(ISBLANK(F38),"",COUNTA($F$6:F38))</f>
        <v>33</v>
      </c>
      <c r="B38" s="37" t="s">
        <v>60</v>
      </c>
      <c r="C38" s="37" t="s">
        <v>61</v>
      </c>
      <c r="D38" s="22"/>
      <c r="E38" s="23" t="s">
        <v>66</v>
      </c>
      <c r="F38" s="36">
        <v>46213</v>
      </c>
      <c r="G38" s="24" t="s">
        <v>59</v>
      </c>
      <c r="H38" s="24">
        <v>58</v>
      </c>
      <c r="I38" s="24">
        <v>0</v>
      </c>
      <c r="J38" s="24" t="s">
        <v>66</v>
      </c>
      <c r="K38" s="25">
        <v>162003172</v>
      </c>
      <c r="L38" s="26">
        <v>46213</v>
      </c>
      <c r="M38" s="38">
        <v>46215</v>
      </c>
      <c r="N38" s="52">
        <v>16360</v>
      </c>
      <c r="O38" s="27"/>
      <c r="P38" s="27"/>
      <c r="Q38" s="27"/>
      <c r="R38" s="46">
        <v>5202.9399999999996</v>
      </c>
      <c r="S38" s="46">
        <v>1212.5399999999995</v>
      </c>
      <c r="T38" s="46">
        <f t="shared" si="32"/>
        <v>3990.4</v>
      </c>
      <c r="U38" s="46">
        <v>3990.6</v>
      </c>
      <c r="V38" s="46"/>
      <c r="W38" s="46"/>
      <c r="X38" s="46">
        <v>3887.8</v>
      </c>
      <c r="Y38" s="46"/>
      <c r="Z38" s="46">
        <f t="shared" ref="Z38:Z69" si="39">+T38-X38</f>
        <v>102.59999999999991</v>
      </c>
      <c r="AA38" s="39">
        <f t="shared" ref="AA38:AA69" si="40">Z38/T38</f>
        <v>2.5711708099438631E-2</v>
      </c>
      <c r="AB38" s="73">
        <v>3990.44</v>
      </c>
      <c r="AC38" s="73"/>
      <c r="AD38" s="73"/>
      <c r="AE38" s="39"/>
      <c r="AF38" s="74"/>
      <c r="AG38" s="74"/>
      <c r="AH38" s="75"/>
      <c r="AI38" s="75">
        <f t="shared" si="33"/>
        <v>0</v>
      </c>
      <c r="AJ38" s="32"/>
      <c r="AK38" s="32"/>
      <c r="AL38" s="32"/>
      <c r="AM38" s="33"/>
      <c r="AN38" s="33"/>
      <c r="AO38" s="33"/>
      <c r="AP38" s="34">
        <f t="shared" si="34"/>
        <v>0</v>
      </c>
      <c r="AQ38" s="32">
        <f t="shared" si="35"/>
        <v>0</v>
      </c>
      <c r="AR38" s="32">
        <f t="shared" si="36"/>
        <v>0</v>
      </c>
      <c r="AS38" s="32"/>
      <c r="AT38" s="32"/>
      <c r="AU38" s="32"/>
      <c r="AV38" s="32"/>
      <c r="AW38" s="32"/>
      <c r="AX38" s="32"/>
      <c r="AY38" s="32"/>
      <c r="AZ38" s="35"/>
      <c r="BB38" s="45">
        <f t="shared" ref="BB38:BB69" si="41">IF(AND(AB38="",AC38=""),T38,IF(AC38="",AB38,AC38))</f>
        <v>3990.44</v>
      </c>
      <c r="BC38" s="45">
        <f t="shared" ref="BC38:BC69" si="42">+X38</f>
        <v>3887.8</v>
      </c>
      <c r="BD38" s="45"/>
      <c r="BE38" s="45">
        <f t="shared" si="37"/>
        <v>102.63999999999987</v>
      </c>
      <c r="BF38" s="39">
        <f t="shared" si="38"/>
        <v>2.5721474323633451E-2</v>
      </c>
    </row>
    <row r="39" spans="1:58" s="20" customFormat="1" ht="12.75" x14ac:dyDescent="0.2">
      <c r="A39" s="21">
        <f>IF(ISBLANK(F39),"",COUNTA($F$6:F39))</f>
        <v>34</v>
      </c>
      <c r="B39" s="37" t="s">
        <v>60</v>
      </c>
      <c r="C39" s="37" t="s">
        <v>61</v>
      </c>
      <c r="D39" s="22"/>
      <c r="E39" s="23" t="s">
        <v>64</v>
      </c>
      <c r="F39" s="36">
        <v>46213</v>
      </c>
      <c r="G39" s="24" t="s">
        <v>59</v>
      </c>
      <c r="H39" s="24">
        <v>58</v>
      </c>
      <c r="I39" s="24">
        <v>0</v>
      </c>
      <c r="J39" s="24" t="s">
        <v>64</v>
      </c>
      <c r="K39" s="25">
        <v>162004320</v>
      </c>
      <c r="L39" s="26">
        <v>46213</v>
      </c>
      <c r="M39" s="38">
        <v>46214</v>
      </c>
      <c r="N39" s="52">
        <v>16359</v>
      </c>
      <c r="O39" s="27"/>
      <c r="P39" s="27"/>
      <c r="Q39" s="27"/>
      <c r="R39" s="46">
        <v>5160.99</v>
      </c>
      <c r="S39" s="46">
        <v>1232.8899999999999</v>
      </c>
      <c r="T39" s="46">
        <f t="shared" si="32"/>
        <v>3928.1</v>
      </c>
      <c r="U39" s="46">
        <v>3965.4</v>
      </c>
      <c r="V39" s="46"/>
      <c r="W39" s="46"/>
      <c r="X39" s="46">
        <v>3878.8</v>
      </c>
      <c r="Y39" s="46"/>
      <c r="Z39" s="46">
        <f t="shared" si="39"/>
        <v>49.299999999999727</v>
      </c>
      <c r="AA39" s="39">
        <f t="shared" si="40"/>
        <v>1.2550596980728527E-2</v>
      </c>
      <c r="AB39" s="73">
        <v>3928.1</v>
      </c>
      <c r="AC39" s="73"/>
      <c r="AD39" s="73"/>
      <c r="AE39" s="39"/>
      <c r="AF39" s="74"/>
      <c r="AG39" s="74"/>
      <c r="AH39" s="75"/>
      <c r="AI39" s="75">
        <f t="shared" si="33"/>
        <v>0</v>
      </c>
      <c r="AJ39" s="32"/>
      <c r="AK39" s="32"/>
      <c r="AL39" s="32"/>
      <c r="AM39" s="33"/>
      <c r="AN39" s="33"/>
      <c r="AO39" s="33"/>
      <c r="AP39" s="34">
        <f t="shared" si="34"/>
        <v>0</v>
      </c>
      <c r="AQ39" s="32">
        <f t="shared" si="35"/>
        <v>0</v>
      </c>
      <c r="AR39" s="32">
        <f t="shared" si="36"/>
        <v>0</v>
      </c>
      <c r="AS39" s="32"/>
      <c r="AT39" s="32"/>
      <c r="AU39" s="32"/>
      <c r="AV39" s="32"/>
      <c r="AW39" s="32"/>
      <c r="AX39" s="32"/>
      <c r="AY39" s="32"/>
      <c r="AZ39" s="35"/>
      <c r="BB39" s="45">
        <f t="shared" si="41"/>
        <v>3928.1</v>
      </c>
      <c r="BC39" s="45">
        <f t="shared" si="42"/>
        <v>3878.8</v>
      </c>
      <c r="BD39" s="45"/>
      <c r="BE39" s="45">
        <f t="shared" si="37"/>
        <v>49.299999999999727</v>
      </c>
      <c r="BF39" s="39">
        <f t="shared" si="38"/>
        <v>1.2550596980728527E-2</v>
      </c>
    </row>
    <row r="40" spans="1:58" s="20" customFormat="1" ht="12.75" x14ac:dyDescent="0.2">
      <c r="A40" s="21">
        <f>IF(ISBLANK(F40),"",COUNTA($F$6:F40))</f>
        <v>35</v>
      </c>
      <c r="B40" s="37" t="s">
        <v>60</v>
      </c>
      <c r="C40" s="37" t="s">
        <v>61</v>
      </c>
      <c r="D40" s="22"/>
      <c r="E40" s="23" t="s">
        <v>62</v>
      </c>
      <c r="F40" s="36">
        <v>46213</v>
      </c>
      <c r="G40" s="24" t="s">
        <v>59</v>
      </c>
      <c r="H40" s="24">
        <v>59</v>
      </c>
      <c r="I40" s="24">
        <v>0</v>
      </c>
      <c r="J40" s="24" t="s">
        <v>62</v>
      </c>
      <c r="K40" s="25">
        <v>162008444</v>
      </c>
      <c r="L40" s="26">
        <v>46213</v>
      </c>
      <c r="M40" s="38">
        <v>46215</v>
      </c>
      <c r="N40" s="52">
        <v>16361</v>
      </c>
      <c r="O40" s="27"/>
      <c r="P40" s="27"/>
      <c r="Q40" s="27"/>
      <c r="R40" s="46">
        <v>5316.91</v>
      </c>
      <c r="S40" s="46">
        <v>1230.1099999999997</v>
      </c>
      <c r="T40" s="46">
        <f t="shared" si="32"/>
        <v>4086.8</v>
      </c>
      <c r="U40" s="46">
        <v>4081.2</v>
      </c>
      <c r="V40" s="46"/>
      <c r="W40" s="46"/>
      <c r="X40" s="46">
        <v>4053.8</v>
      </c>
      <c r="Y40" s="46"/>
      <c r="Z40" s="46">
        <f t="shared" si="39"/>
        <v>33</v>
      </c>
      <c r="AA40" s="39">
        <f t="shared" si="40"/>
        <v>8.0747773318978165E-3</v>
      </c>
      <c r="AB40" s="73">
        <v>4086.7</v>
      </c>
      <c r="AC40" s="73"/>
      <c r="AD40" s="73"/>
      <c r="AE40" s="39"/>
      <c r="AF40" s="74"/>
      <c r="AG40" s="74"/>
      <c r="AH40" s="75"/>
      <c r="AI40" s="75">
        <f t="shared" si="33"/>
        <v>0</v>
      </c>
      <c r="AJ40" s="32"/>
      <c r="AK40" s="32"/>
      <c r="AL40" s="32"/>
      <c r="AM40" s="33"/>
      <c r="AN40" s="33"/>
      <c r="AO40" s="33"/>
      <c r="AP40" s="34">
        <f t="shared" si="34"/>
        <v>0</v>
      </c>
      <c r="AQ40" s="32">
        <f t="shared" si="35"/>
        <v>0</v>
      </c>
      <c r="AR40" s="32">
        <f t="shared" si="36"/>
        <v>0</v>
      </c>
      <c r="AS40" s="32"/>
      <c r="AT40" s="32"/>
      <c r="AU40" s="32"/>
      <c r="AV40" s="32"/>
      <c r="AW40" s="32"/>
      <c r="AX40" s="32"/>
      <c r="AY40" s="32"/>
      <c r="AZ40" s="35"/>
      <c r="BB40" s="45">
        <f t="shared" si="41"/>
        <v>4086.7</v>
      </c>
      <c r="BC40" s="45">
        <f t="shared" si="42"/>
        <v>4053.8</v>
      </c>
      <c r="BD40" s="45"/>
      <c r="BE40" s="45">
        <f t="shared" si="37"/>
        <v>32.899999999999636</v>
      </c>
      <c r="BF40" s="39">
        <f t="shared" si="38"/>
        <v>8.0505052976728511E-3</v>
      </c>
    </row>
    <row r="41" spans="1:58" s="20" customFormat="1" ht="12.75" x14ac:dyDescent="0.2">
      <c r="A41" s="21">
        <f>IF(ISBLANK(F41),"",COUNTA($F$6:F41))</f>
        <v>36</v>
      </c>
      <c r="B41" s="37" t="s">
        <v>60</v>
      </c>
      <c r="C41" s="37" t="s">
        <v>61</v>
      </c>
      <c r="D41" s="22"/>
      <c r="E41" s="23" t="s">
        <v>65</v>
      </c>
      <c r="F41" s="36">
        <v>46213</v>
      </c>
      <c r="G41" s="24" t="s">
        <v>59</v>
      </c>
      <c r="H41" s="24">
        <v>58</v>
      </c>
      <c r="I41" s="24">
        <v>1</v>
      </c>
      <c r="J41" s="24" t="s">
        <v>70</v>
      </c>
      <c r="K41" s="25">
        <v>162011630</v>
      </c>
      <c r="L41" s="26">
        <v>46214</v>
      </c>
      <c r="M41" s="38">
        <v>46215</v>
      </c>
      <c r="N41" s="52">
        <v>16363</v>
      </c>
      <c r="O41" s="27"/>
      <c r="P41" s="27"/>
      <c r="Q41" s="27"/>
      <c r="R41" s="46">
        <v>5118.96</v>
      </c>
      <c r="S41" s="46">
        <v>1197.46</v>
      </c>
      <c r="T41" s="46">
        <f t="shared" si="32"/>
        <v>3921.5</v>
      </c>
      <c r="U41" s="46">
        <v>3960</v>
      </c>
      <c r="V41" s="46"/>
      <c r="W41" s="46"/>
      <c r="X41" s="46">
        <v>3822</v>
      </c>
      <c r="Y41" s="46"/>
      <c r="Z41" s="46">
        <f t="shared" si="39"/>
        <v>99.5</v>
      </c>
      <c r="AA41" s="39">
        <f t="shared" si="40"/>
        <v>2.5372944026520464E-2</v>
      </c>
      <c r="AB41" s="73">
        <v>4302.1400000000003</v>
      </c>
      <c r="AC41" s="73"/>
      <c r="AD41" s="73"/>
      <c r="AE41" s="39"/>
      <c r="AF41" s="74"/>
      <c r="AG41" s="74"/>
      <c r="AH41" s="75"/>
      <c r="AI41" s="75">
        <f t="shared" si="33"/>
        <v>0</v>
      </c>
      <c r="AJ41" s="32"/>
      <c r="AK41" s="32"/>
      <c r="AL41" s="32"/>
      <c r="AM41" s="33"/>
      <c r="AN41" s="33"/>
      <c r="AO41" s="33"/>
      <c r="AP41" s="34">
        <f t="shared" si="34"/>
        <v>0</v>
      </c>
      <c r="AQ41" s="32">
        <f t="shared" si="35"/>
        <v>0</v>
      </c>
      <c r="AR41" s="32">
        <f t="shared" si="36"/>
        <v>0</v>
      </c>
      <c r="AS41" s="32"/>
      <c r="AT41" s="32"/>
      <c r="AU41" s="32"/>
      <c r="AV41" s="32"/>
      <c r="AW41" s="32"/>
      <c r="AX41" s="32"/>
      <c r="AY41" s="32"/>
      <c r="AZ41" s="35"/>
      <c r="BB41" s="45">
        <f t="shared" si="41"/>
        <v>4302.1400000000003</v>
      </c>
      <c r="BC41" s="45">
        <f t="shared" si="42"/>
        <v>3822</v>
      </c>
      <c r="BD41" s="45"/>
      <c r="BE41" s="45">
        <f t="shared" si="37"/>
        <v>480.14000000000033</v>
      </c>
      <c r="BF41" s="39">
        <f t="shared" si="38"/>
        <v>0.11160492220150908</v>
      </c>
    </row>
    <row r="42" spans="1:58" s="20" customFormat="1" ht="12.75" x14ac:dyDescent="0.2">
      <c r="A42" s="21">
        <f>IF(ISBLANK(F42),"",COUNTA($F$6:F42))</f>
        <v>37</v>
      </c>
      <c r="B42" s="37" t="s">
        <v>60</v>
      </c>
      <c r="C42" s="37" t="s">
        <v>61</v>
      </c>
      <c r="D42" s="22"/>
      <c r="E42" s="23" t="s">
        <v>64</v>
      </c>
      <c r="F42" s="36">
        <v>46214</v>
      </c>
      <c r="G42" s="24" t="s">
        <v>59</v>
      </c>
      <c r="H42" s="24">
        <v>58</v>
      </c>
      <c r="I42" s="24">
        <v>1</v>
      </c>
      <c r="J42" s="24" t="s">
        <v>64</v>
      </c>
      <c r="K42" s="25">
        <v>162004321</v>
      </c>
      <c r="L42" s="26">
        <v>46214</v>
      </c>
      <c r="M42" s="38">
        <v>46217</v>
      </c>
      <c r="N42" s="52">
        <v>16373</v>
      </c>
      <c r="O42" s="27"/>
      <c r="P42" s="27"/>
      <c r="Q42" s="27"/>
      <c r="R42" s="46">
        <v>5082.47</v>
      </c>
      <c r="S42" s="46">
        <v>1206.4700000000003</v>
      </c>
      <c r="T42" s="46">
        <f t="shared" si="25"/>
        <v>3876</v>
      </c>
      <c r="U42" s="46">
        <v>3903.8</v>
      </c>
      <c r="V42" s="46"/>
      <c r="W42" s="46"/>
      <c r="X42" s="46">
        <v>3756</v>
      </c>
      <c r="Y42" s="46"/>
      <c r="Z42" s="46">
        <f t="shared" si="39"/>
        <v>120</v>
      </c>
      <c r="AA42" s="39">
        <f t="shared" si="40"/>
        <v>3.0959752321981424E-2</v>
      </c>
      <c r="AB42" s="73">
        <v>3876</v>
      </c>
      <c r="AC42" s="73"/>
      <c r="AD42" s="73"/>
      <c r="AE42" s="39"/>
      <c r="AF42" s="74"/>
      <c r="AG42" s="74"/>
      <c r="AH42" s="75"/>
      <c r="AI42" s="75">
        <f t="shared" si="26"/>
        <v>0</v>
      </c>
      <c r="AJ42" s="32"/>
      <c r="AK42" s="32"/>
      <c r="AL42" s="32"/>
      <c r="AM42" s="33"/>
      <c r="AN42" s="33"/>
      <c r="AO42" s="33"/>
      <c r="AP42" s="34">
        <f t="shared" si="27"/>
        <v>0</v>
      </c>
      <c r="AQ42" s="32">
        <f t="shared" si="28"/>
        <v>0</v>
      </c>
      <c r="AR42" s="32">
        <f t="shared" si="29"/>
        <v>0</v>
      </c>
      <c r="AS42" s="32"/>
      <c r="AT42" s="32"/>
      <c r="AU42" s="32"/>
      <c r="AV42" s="32"/>
      <c r="AW42" s="32"/>
      <c r="AX42" s="32"/>
      <c r="AY42" s="32"/>
      <c r="AZ42" s="35"/>
      <c r="BB42" s="45">
        <f t="shared" si="41"/>
        <v>3876</v>
      </c>
      <c r="BC42" s="45">
        <f t="shared" si="42"/>
        <v>3756</v>
      </c>
      <c r="BD42" s="45"/>
      <c r="BE42" s="45">
        <f t="shared" si="30"/>
        <v>120</v>
      </c>
      <c r="BF42" s="39">
        <f t="shared" si="31"/>
        <v>3.0959752321981424E-2</v>
      </c>
    </row>
    <row r="43" spans="1:58" s="20" customFormat="1" ht="12.75" x14ac:dyDescent="0.2">
      <c r="A43" s="21">
        <f>IF(ISBLANK(F43),"",COUNTA($F$6:F43))</f>
        <v>38</v>
      </c>
      <c r="B43" s="37" t="s">
        <v>60</v>
      </c>
      <c r="C43" s="37" t="s">
        <v>61</v>
      </c>
      <c r="D43" s="22"/>
      <c r="E43" s="23" t="s">
        <v>62</v>
      </c>
      <c r="F43" s="36">
        <v>46214</v>
      </c>
      <c r="G43" s="24" t="s">
        <v>59</v>
      </c>
      <c r="H43" s="24">
        <v>58</v>
      </c>
      <c r="I43" s="24">
        <v>0</v>
      </c>
      <c r="J43" s="24" t="s">
        <v>62</v>
      </c>
      <c r="K43" s="25">
        <v>162008446</v>
      </c>
      <c r="L43" s="26">
        <v>46214</v>
      </c>
      <c r="M43" s="38">
        <v>46216</v>
      </c>
      <c r="N43" s="52">
        <v>16368</v>
      </c>
      <c r="O43" s="27"/>
      <c r="P43" s="27"/>
      <c r="Q43" s="27"/>
      <c r="R43" s="46">
        <v>5224.74</v>
      </c>
      <c r="S43" s="46">
        <v>1218.8399999999997</v>
      </c>
      <c r="T43" s="46">
        <f t="shared" si="25"/>
        <v>4005.9</v>
      </c>
      <c r="U43" s="46">
        <v>4004.8</v>
      </c>
      <c r="V43" s="46"/>
      <c r="W43" s="46"/>
      <c r="X43" s="46">
        <v>3995.2</v>
      </c>
      <c r="Y43" s="46"/>
      <c r="Z43" s="46">
        <f t="shared" si="39"/>
        <v>10.700000000000273</v>
      </c>
      <c r="AA43" s="39">
        <f t="shared" si="40"/>
        <v>2.6710601862253856E-3</v>
      </c>
      <c r="AB43" s="73">
        <v>4005.86</v>
      </c>
      <c r="AC43" s="73"/>
      <c r="AD43" s="73"/>
      <c r="AE43" s="39"/>
      <c r="AF43" s="74"/>
      <c r="AG43" s="74"/>
      <c r="AH43" s="75"/>
      <c r="AI43" s="75">
        <f t="shared" si="26"/>
        <v>0</v>
      </c>
      <c r="AJ43" s="32"/>
      <c r="AK43" s="32"/>
      <c r="AL43" s="32"/>
      <c r="AM43" s="33"/>
      <c r="AN43" s="33"/>
      <c r="AO43" s="33"/>
      <c r="AP43" s="34">
        <f t="shared" si="27"/>
        <v>0</v>
      </c>
      <c r="AQ43" s="32">
        <f t="shared" si="28"/>
        <v>0</v>
      </c>
      <c r="AR43" s="32">
        <f t="shared" si="29"/>
        <v>0</v>
      </c>
      <c r="AS43" s="32"/>
      <c r="AT43" s="32"/>
      <c r="AU43" s="32"/>
      <c r="AV43" s="32"/>
      <c r="AW43" s="32"/>
      <c r="AX43" s="32"/>
      <c r="AY43" s="32"/>
      <c r="AZ43" s="35"/>
      <c r="BB43" s="45">
        <f t="shared" si="41"/>
        <v>4005.86</v>
      </c>
      <c r="BC43" s="45">
        <f t="shared" si="42"/>
        <v>3995.2</v>
      </c>
      <c r="BD43" s="45"/>
      <c r="BE43" s="45">
        <f t="shared" si="30"/>
        <v>10.660000000000309</v>
      </c>
      <c r="BF43" s="39">
        <f t="shared" si="31"/>
        <v>2.6611014863226145E-3</v>
      </c>
    </row>
    <row r="44" spans="1:58" s="20" customFormat="1" ht="12.75" x14ac:dyDescent="0.2">
      <c r="A44" s="21">
        <f>IF(ISBLANK(F44),"",COUNTA($F$6:F44))</f>
        <v>39</v>
      </c>
      <c r="B44" s="37" t="s">
        <v>60</v>
      </c>
      <c r="C44" s="37" t="s">
        <v>61</v>
      </c>
      <c r="D44" s="22"/>
      <c r="E44" s="23" t="s">
        <v>63</v>
      </c>
      <c r="F44" s="36">
        <v>46214</v>
      </c>
      <c r="G44" s="24" t="s">
        <v>59</v>
      </c>
      <c r="H44" s="24">
        <v>59</v>
      </c>
      <c r="I44" s="24">
        <v>0</v>
      </c>
      <c r="J44" s="24" t="s">
        <v>63</v>
      </c>
      <c r="K44" s="25">
        <v>162006284</v>
      </c>
      <c r="L44" s="26">
        <v>46214</v>
      </c>
      <c r="M44" s="38">
        <v>46215</v>
      </c>
      <c r="N44" s="52">
        <v>16364</v>
      </c>
      <c r="O44" s="27"/>
      <c r="P44" s="27"/>
      <c r="Q44" s="27"/>
      <c r="R44" s="46">
        <v>5275.48</v>
      </c>
      <c r="S44" s="46">
        <v>1265.6799999999994</v>
      </c>
      <c r="T44" s="46">
        <f t="shared" si="25"/>
        <v>4009.8</v>
      </c>
      <c r="U44" s="46">
        <v>4026.2</v>
      </c>
      <c r="V44" s="46"/>
      <c r="W44" s="46"/>
      <c r="X44" s="46">
        <v>3937.4</v>
      </c>
      <c r="Y44" s="46"/>
      <c r="Z44" s="46">
        <f t="shared" si="39"/>
        <v>72.400000000000091</v>
      </c>
      <c r="AA44" s="39">
        <f t="shared" si="40"/>
        <v>1.805576337971971E-2</v>
      </c>
      <c r="AB44" s="73">
        <v>4009.8</v>
      </c>
      <c r="AC44" s="73"/>
      <c r="AD44" s="73"/>
      <c r="AE44" s="39"/>
      <c r="AF44" s="74"/>
      <c r="AG44" s="74"/>
      <c r="AH44" s="75"/>
      <c r="AI44" s="75">
        <f t="shared" si="26"/>
        <v>0</v>
      </c>
      <c r="AJ44" s="32"/>
      <c r="AK44" s="32"/>
      <c r="AL44" s="32"/>
      <c r="AM44" s="33"/>
      <c r="AN44" s="33"/>
      <c r="AO44" s="33"/>
      <c r="AP44" s="34">
        <f t="shared" si="27"/>
        <v>0</v>
      </c>
      <c r="AQ44" s="32">
        <f t="shared" si="28"/>
        <v>0</v>
      </c>
      <c r="AR44" s="32">
        <f t="shared" si="29"/>
        <v>0</v>
      </c>
      <c r="AS44" s="32"/>
      <c r="AT44" s="32"/>
      <c r="AU44" s="32"/>
      <c r="AV44" s="32"/>
      <c r="AW44" s="32"/>
      <c r="AX44" s="32"/>
      <c r="AY44" s="32"/>
      <c r="AZ44" s="35"/>
      <c r="BB44" s="45">
        <f t="shared" si="41"/>
        <v>4009.8</v>
      </c>
      <c r="BC44" s="45">
        <f t="shared" si="42"/>
        <v>3937.4</v>
      </c>
      <c r="BD44" s="45"/>
      <c r="BE44" s="45">
        <f t="shared" si="30"/>
        <v>72.400000000000091</v>
      </c>
      <c r="BF44" s="39">
        <f t="shared" si="31"/>
        <v>1.805576337971971E-2</v>
      </c>
    </row>
    <row r="45" spans="1:58" s="20" customFormat="1" ht="12.75" x14ac:dyDescent="0.2">
      <c r="A45" s="21">
        <f>IF(ISBLANK(F45),"",COUNTA($F$6:F45))</f>
        <v>40</v>
      </c>
      <c r="B45" s="37" t="s">
        <v>60</v>
      </c>
      <c r="C45" s="37" t="s">
        <v>61</v>
      </c>
      <c r="D45" s="22"/>
      <c r="E45" s="23" t="s">
        <v>65</v>
      </c>
      <c r="F45" s="36">
        <v>46214</v>
      </c>
      <c r="G45" s="24" t="s">
        <v>59</v>
      </c>
      <c r="H45" s="24">
        <v>58</v>
      </c>
      <c r="I45" s="24">
        <v>0</v>
      </c>
      <c r="J45" s="24" t="s">
        <v>67</v>
      </c>
      <c r="K45" s="25">
        <v>162011631</v>
      </c>
      <c r="L45" s="26">
        <v>46214</v>
      </c>
      <c r="M45" s="38">
        <v>46216</v>
      </c>
      <c r="N45" s="52">
        <v>16367</v>
      </c>
      <c r="O45" s="27"/>
      <c r="P45" s="27"/>
      <c r="Q45" s="27"/>
      <c r="R45" s="46">
        <v>5190</v>
      </c>
      <c r="S45" s="46">
        <v>1219</v>
      </c>
      <c r="T45" s="46">
        <f t="shared" si="25"/>
        <v>3971</v>
      </c>
      <c r="U45" s="46">
        <v>4021.4</v>
      </c>
      <c r="V45" s="46"/>
      <c r="W45" s="46"/>
      <c r="X45" s="46">
        <v>3705.4</v>
      </c>
      <c r="Y45" s="46"/>
      <c r="Z45" s="46">
        <f t="shared" si="39"/>
        <v>265.59999999999991</v>
      </c>
      <c r="AA45" s="39">
        <f t="shared" si="40"/>
        <v>6.6884915638378215E-2</v>
      </c>
      <c r="AB45" s="73">
        <v>3978.37</v>
      </c>
      <c r="AC45" s="73"/>
      <c r="AD45" s="73"/>
      <c r="AE45" s="39"/>
      <c r="AF45" s="74"/>
      <c r="AG45" s="74"/>
      <c r="AH45" s="75"/>
      <c r="AI45" s="75">
        <f t="shared" si="26"/>
        <v>0</v>
      </c>
      <c r="AJ45" s="32"/>
      <c r="AK45" s="32"/>
      <c r="AL45" s="32"/>
      <c r="AM45" s="33"/>
      <c r="AN45" s="33"/>
      <c r="AO45" s="33"/>
      <c r="AP45" s="34">
        <f t="shared" si="27"/>
        <v>0</v>
      </c>
      <c r="AQ45" s="32">
        <f t="shared" si="28"/>
        <v>0</v>
      </c>
      <c r="AR45" s="32">
        <f t="shared" si="29"/>
        <v>0</v>
      </c>
      <c r="AS45" s="32"/>
      <c r="AT45" s="32"/>
      <c r="AU45" s="32"/>
      <c r="AV45" s="32"/>
      <c r="AW45" s="32"/>
      <c r="AX45" s="32"/>
      <c r="AY45" s="32"/>
      <c r="AZ45" s="35"/>
      <c r="BB45" s="45">
        <f t="shared" si="41"/>
        <v>3978.37</v>
      </c>
      <c r="BC45" s="45">
        <f t="shared" si="42"/>
        <v>3705.4</v>
      </c>
      <c r="BD45" s="45"/>
      <c r="BE45" s="45">
        <f t="shared" si="30"/>
        <v>272.9699999999998</v>
      </c>
      <c r="BF45" s="39">
        <f t="shared" si="31"/>
        <v>6.86135276507715E-2</v>
      </c>
    </row>
    <row r="46" spans="1:58" s="20" customFormat="1" ht="12.75" x14ac:dyDescent="0.2">
      <c r="A46" s="21">
        <f>IF(ISBLANK(F46),"",COUNTA($F$6:F46))</f>
        <v>41</v>
      </c>
      <c r="B46" s="37" t="s">
        <v>60</v>
      </c>
      <c r="C46" s="37" t="s">
        <v>61</v>
      </c>
      <c r="D46" s="22"/>
      <c r="E46" s="23" t="s">
        <v>63</v>
      </c>
      <c r="F46" s="36">
        <v>46215</v>
      </c>
      <c r="G46" s="24" t="s">
        <v>59</v>
      </c>
      <c r="H46" s="24">
        <v>58</v>
      </c>
      <c r="I46" s="24">
        <v>0</v>
      </c>
      <c r="J46" s="24" t="s">
        <v>63</v>
      </c>
      <c r="K46" s="25">
        <v>162006288</v>
      </c>
      <c r="L46" s="26">
        <v>46215</v>
      </c>
      <c r="M46" s="38">
        <v>46216</v>
      </c>
      <c r="N46" s="52">
        <v>16369</v>
      </c>
      <c r="O46" s="27"/>
      <c r="P46" s="27"/>
      <c r="Q46" s="27"/>
      <c r="R46" s="46">
        <v>5221.84</v>
      </c>
      <c r="S46" s="46">
        <v>1212.6400000000003</v>
      </c>
      <c r="T46" s="46">
        <f t="shared" si="25"/>
        <v>4009.2</v>
      </c>
      <c r="U46" s="46">
        <v>4010.6</v>
      </c>
      <c r="V46" s="46"/>
      <c r="W46" s="46"/>
      <c r="X46" s="46">
        <v>3843.8</v>
      </c>
      <c r="Y46" s="46"/>
      <c r="Z46" s="46">
        <f t="shared" si="39"/>
        <v>165.39999999999964</v>
      </c>
      <c r="AA46" s="39">
        <f t="shared" si="40"/>
        <v>4.1255113239548946E-2</v>
      </c>
      <c r="AB46" s="73">
        <v>4009.2</v>
      </c>
      <c r="AC46" s="73"/>
      <c r="AD46" s="73"/>
      <c r="AE46" s="39"/>
      <c r="AF46" s="74"/>
      <c r="AG46" s="74"/>
      <c r="AH46" s="75"/>
      <c r="AI46" s="75">
        <f t="shared" si="26"/>
        <v>0</v>
      </c>
      <c r="AJ46" s="32"/>
      <c r="AK46" s="32"/>
      <c r="AL46" s="32"/>
      <c r="AM46" s="33"/>
      <c r="AN46" s="33"/>
      <c r="AO46" s="33"/>
      <c r="AP46" s="34">
        <f t="shared" si="27"/>
        <v>0</v>
      </c>
      <c r="AQ46" s="32">
        <f t="shared" si="28"/>
        <v>0</v>
      </c>
      <c r="AR46" s="32">
        <f t="shared" si="29"/>
        <v>0</v>
      </c>
      <c r="AS46" s="32"/>
      <c r="AT46" s="32"/>
      <c r="AU46" s="32"/>
      <c r="AV46" s="32"/>
      <c r="AW46" s="32"/>
      <c r="AX46" s="32"/>
      <c r="AY46" s="32"/>
      <c r="AZ46" s="35"/>
      <c r="BB46" s="45">
        <f t="shared" si="41"/>
        <v>4009.2</v>
      </c>
      <c r="BC46" s="45">
        <f t="shared" si="42"/>
        <v>3843.8</v>
      </c>
      <c r="BD46" s="45"/>
      <c r="BE46" s="45">
        <f t="shared" si="30"/>
        <v>165.39999999999964</v>
      </c>
      <c r="BF46" s="39">
        <f t="shared" si="31"/>
        <v>4.1255113239548946E-2</v>
      </c>
    </row>
    <row r="47" spans="1:58" s="20" customFormat="1" ht="12.75" x14ac:dyDescent="0.2">
      <c r="A47" s="21">
        <f>IF(ISBLANK(F47),"",COUNTA($F$6:F47))</f>
        <v>42</v>
      </c>
      <c r="B47" s="37" t="s">
        <v>60</v>
      </c>
      <c r="C47" s="37" t="s">
        <v>61</v>
      </c>
      <c r="D47" s="22"/>
      <c r="E47" s="23" t="s">
        <v>64</v>
      </c>
      <c r="F47" s="36">
        <v>46215</v>
      </c>
      <c r="G47" s="24" t="s">
        <v>59</v>
      </c>
      <c r="H47" s="24">
        <v>58</v>
      </c>
      <c r="I47" s="24">
        <v>0</v>
      </c>
      <c r="J47" s="24" t="s">
        <v>64</v>
      </c>
      <c r="K47" s="25">
        <v>162004323</v>
      </c>
      <c r="L47" s="26">
        <v>46215</v>
      </c>
      <c r="M47" s="38">
        <v>46218</v>
      </c>
      <c r="N47" s="52">
        <v>16377</v>
      </c>
      <c r="O47" s="27"/>
      <c r="P47" s="27"/>
      <c r="Q47" s="27"/>
      <c r="R47" s="46">
        <v>5189.6099999999997</v>
      </c>
      <c r="S47" s="46">
        <v>1206.6099999999997</v>
      </c>
      <c r="T47" s="46">
        <f t="shared" si="25"/>
        <v>3983</v>
      </c>
      <c r="U47" s="46">
        <v>3993.6</v>
      </c>
      <c r="V47" s="46"/>
      <c r="W47" s="46"/>
      <c r="X47" s="46">
        <v>3896.6</v>
      </c>
      <c r="Y47" s="46"/>
      <c r="Z47" s="46">
        <f t="shared" si="39"/>
        <v>86.400000000000091</v>
      </c>
      <c r="AA47" s="39">
        <f t="shared" si="40"/>
        <v>2.1692191815214684E-2</v>
      </c>
      <c r="AB47" s="73">
        <v>3982.95</v>
      </c>
      <c r="AC47" s="73"/>
      <c r="AD47" s="73"/>
      <c r="AE47" s="39"/>
      <c r="AF47" s="74"/>
      <c r="AG47" s="74"/>
      <c r="AH47" s="75"/>
      <c r="AI47" s="75">
        <f t="shared" si="26"/>
        <v>0</v>
      </c>
      <c r="AJ47" s="32"/>
      <c r="AK47" s="32"/>
      <c r="AL47" s="32"/>
      <c r="AM47" s="33"/>
      <c r="AN47" s="33"/>
      <c r="AO47" s="33"/>
      <c r="AP47" s="34">
        <f t="shared" si="27"/>
        <v>0</v>
      </c>
      <c r="AQ47" s="32">
        <f t="shared" si="28"/>
        <v>0</v>
      </c>
      <c r="AR47" s="32">
        <f t="shared" si="29"/>
        <v>0</v>
      </c>
      <c r="AS47" s="32"/>
      <c r="AT47" s="32"/>
      <c r="AU47" s="32"/>
      <c r="AV47" s="32"/>
      <c r="AW47" s="32"/>
      <c r="AX47" s="32"/>
      <c r="AY47" s="32"/>
      <c r="AZ47" s="35"/>
      <c r="BB47" s="45">
        <f t="shared" si="41"/>
        <v>3982.95</v>
      </c>
      <c r="BC47" s="45">
        <f t="shared" si="42"/>
        <v>3896.6</v>
      </c>
      <c r="BD47" s="45"/>
      <c r="BE47" s="45">
        <f t="shared" si="30"/>
        <v>86.349999999999909</v>
      </c>
      <c r="BF47" s="39">
        <f t="shared" si="31"/>
        <v>2.1679910619013525E-2</v>
      </c>
    </row>
    <row r="48" spans="1:58" s="20" customFormat="1" ht="12.75" x14ac:dyDescent="0.2">
      <c r="A48" s="21">
        <f>IF(ISBLANK(F48),"",COUNTA($F$6:F48))</f>
        <v>43</v>
      </c>
      <c r="B48" s="37" t="s">
        <v>60</v>
      </c>
      <c r="C48" s="37" t="s">
        <v>61</v>
      </c>
      <c r="D48" s="22"/>
      <c r="E48" s="23" t="s">
        <v>62</v>
      </c>
      <c r="F48" s="36">
        <v>46215</v>
      </c>
      <c r="G48" s="24" t="s">
        <v>59</v>
      </c>
      <c r="H48" s="24">
        <v>58</v>
      </c>
      <c r="I48" s="24">
        <v>1</v>
      </c>
      <c r="J48" s="24" t="s">
        <v>62</v>
      </c>
      <c r="K48" s="25">
        <v>162008452</v>
      </c>
      <c r="L48" s="26">
        <v>46215</v>
      </c>
      <c r="M48" s="38">
        <v>46216</v>
      </c>
      <c r="N48" s="52">
        <v>16370</v>
      </c>
      <c r="O48" s="27"/>
      <c r="P48" s="27"/>
      <c r="Q48" s="27"/>
      <c r="R48" s="46">
        <v>5123.8999999999996</v>
      </c>
      <c r="S48" s="46">
        <v>1201.5999999999995</v>
      </c>
      <c r="T48" s="46">
        <f t="shared" si="25"/>
        <v>3922.3</v>
      </c>
      <c r="U48" s="46">
        <v>3920</v>
      </c>
      <c r="V48" s="46"/>
      <c r="W48" s="46"/>
      <c r="X48" s="46">
        <v>3924</v>
      </c>
      <c r="Y48" s="46"/>
      <c r="Z48" s="46">
        <f t="shared" si="39"/>
        <v>-1.6999999999998181</v>
      </c>
      <c r="AA48" s="39">
        <f t="shared" si="40"/>
        <v>-4.3341916732524745E-4</v>
      </c>
      <c r="AB48" s="73">
        <v>3922.34</v>
      </c>
      <c r="AC48" s="73"/>
      <c r="AD48" s="73"/>
      <c r="AE48" s="39"/>
      <c r="AF48" s="74"/>
      <c r="AG48" s="74"/>
      <c r="AH48" s="75"/>
      <c r="AI48" s="75">
        <f t="shared" si="26"/>
        <v>0</v>
      </c>
      <c r="AJ48" s="32"/>
      <c r="AK48" s="32"/>
      <c r="AL48" s="32"/>
      <c r="AM48" s="33"/>
      <c r="AN48" s="33"/>
      <c r="AO48" s="33"/>
      <c r="AP48" s="34">
        <f t="shared" si="27"/>
        <v>0</v>
      </c>
      <c r="AQ48" s="32">
        <f t="shared" si="28"/>
        <v>0</v>
      </c>
      <c r="AR48" s="32">
        <f t="shared" si="29"/>
        <v>0</v>
      </c>
      <c r="AS48" s="32"/>
      <c r="AT48" s="32"/>
      <c r="AU48" s="32"/>
      <c r="AV48" s="32"/>
      <c r="AW48" s="32"/>
      <c r="AX48" s="32"/>
      <c r="AY48" s="32"/>
      <c r="AZ48" s="35"/>
      <c r="BB48" s="45">
        <f t="shared" si="41"/>
        <v>3922.34</v>
      </c>
      <c r="BC48" s="45">
        <f t="shared" si="42"/>
        <v>3924</v>
      </c>
      <c r="BD48" s="45"/>
      <c r="BE48" s="45">
        <f t="shared" si="30"/>
        <v>-1.6599999999998545</v>
      </c>
      <c r="BF48" s="39">
        <f t="shared" si="31"/>
        <v>-4.2321675326459574E-4</v>
      </c>
    </row>
    <row r="49" spans="1:58" s="20" customFormat="1" ht="12.75" x14ac:dyDescent="0.2">
      <c r="A49" s="21">
        <f>IF(ISBLANK(F49),"",COUNTA($F$6:F49))</f>
        <v>44</v>
      </c>
      <c r="B49" s="37" t="s">
        <v>60</v>
      </c>
      <c r="C49" s="37" t="s">
        <v>61</v>
      </c>
      <c r="D49" s="22"/>
      <c r="E49" s="23" t="s">
        <v>65</v>
      </c>
      <c r="F49" s="36">
        <v>46215</v>
      </c>
      <c r="G49" s="24" t="s">
        <v>59</v>
      </c>
      <c r="H49" s="24">
        <v>58</v>
      </c>
      <c r="I49" s="24">
        <v>1</v>
      </c>
      <c r="J49" s="24" t="s">
        <v>67</v>
      </c>
      <c r="K49" s="25">
        <v>162011634</v>
      </c>
      <c r="L49" s="26">
        <v>46216</v>
      </c>
      <c r="M49" s="38">
        <v>46217</v>
      </c>
      <c r="N49" s="52">
        <v>16371</v>
      </c>
      <c r="O49" s="27"/>
      <c r="P49" s="27"/>
      <c r="Q49" s="27"/>
      <c r="R49" s="46">
        <v>5121.72</v>
      </c>
      <c r="S49" s="46">
        <v>1186.8200000000002</v>
      </c>
      <c r="T49" s="46">
        <f t="shared" si="25"/>
        <v>3934.9</v>
      </c>
      <c r="U49" s="46">
        <v>3965.2</v>
      </c>
      <c r="V49" s="46"/>
      <c r="W49" s="46"/>
      <c r="X49" s="46">
        <v>3745.2</v>
      </c>
      <c r="Y49" s="46"/>
      <c r="Z49" s="46">
        <f t="shared" si="39"/>
        <v>189.70000000000027</v>
      </c>
      <c r="AA49" s="39">
        <f t="shared" si="40"/>
        <v>4.8209611425957526E-2</v>
      </c>
      <c r="AB49" s="73">
        <v>3943.55</v>
      </c>
      <c r="AC49" s="73"/>
      <c r="AD49" s="73"/>
      <c r="AE49" s="39"/>
      <c r="AF49" s="74"/>
      <c r="AG49" s="74"/>
      <c r="AH49" s="75"/>
      <c r="AI49" s="75">
        <f t="shared" si="26"/>
        <v>0</v>
      </c>
      <c r="AJ49" s="32"/>
      <c r="AK49" s="32"/>
      <c r="AL49" s="32"/>
      <c r="AM49" s="33"/>
      <c r="AN49" s="33"/>
      <c r="AO49" s="33"/>
      <c r="AP49" s="34">
        <f t="shared" si="27"/>
        <v>0</v>
      </c>
      <c r="AQ49" s="32">
        <f t="shared" si="28"/>
        <v>0</v>
      </c>
      <c r="AR49" s="32">
        <f t="shared" si="29"/>
        <v>0</v>
      </c>
      <c r="AS49" s="32"/>
      <c r="AT49" s="32"/>
      <c r="AU49" s="32"/>
      <c r="AV49" s="32"/>
      <c r="AW49" s="32"/>
      <c r="AX49" s="32"/>
      <c r="AY49" s="32"/>
      <c r="AZ49" s="35"/>
      <c r="BB49" s="45">
        <f t="shared" si="41"/>
        <v>3943.55</v>
      </c>
      <c r="BC49" s="45">
        <f t="shared" si="42"/>
        <v>3745.2</v>
      </c>
      <c r="BD49" s="45"/>
      <c r="BE49" s="45">
        <f t="shared" si="30"/>
        <v>198.35000000000036</v>
      </c>
      <c r="BF49" s="39">
        <f t="shared" si="31"/>
        <v>5.0297320941791117E-2</v>
      </c>
    </row>
    <row r="50" spans="1:58" s="20" customFormat="1" ht="12.75" x14ac:dyDescent="0.2">
      <c r="A50" s="21">
        <f>IF(ISBLANK(F50),"",COUNTA($F$6:F50))</f>
        <v>45</v>
      </c>
      <c r="B50" s="37" t="s">
        <v>60</v>
      </c>
      <c r="C50" s="37" t="s">
        <v>61</v>
      </c>
      <c r="D50" s="22"/>
      <c r="E50" s="23" t="s">
        <v>62</v>
      </c>
      <c r="F50" s="36">
        <v>46216</v>
      </c>
      <c r="G50" s="24" t="s">
        <v>59</v>
      </c>
      <c r="H50" s="24">
        <v>59</v>
      </c>
      <c r="I50" s="24">
        <v>0</v>
      </c>
      <c r="J50" s="24" t="s">
        <v>62</v>
      </c>
      <c r="K50" s="25">
        <v>162008457</v>
      </c>
      <c r="L50" s="26">
        <v>46216</v>
      </c>
      <c r="M50" s="38">
        <v>46217</v>
      </c>
      <c r="N50" s="52">
        <v>16375</v>
      </c>
      <c r="O50" s="27"/>
      <c r="P50" s="27"/>
      <c r="Q50" s="27"/>
      <c r="R50" s="46">
        <v>5304.87</v>
      </c>
      <c r="S50" s="46">
        <v>1236.4699999999998</v>
      </c>
      <c r="T50" s="46">
        <f t="shared" si="25"/>
        <v>4068.4</v>
      </c>
      <c r="U50" s="46">
        <v>4067.4</v>
      </c>
      <c r="V50" s="46"/>
      <c r="W50" s="46"/>
      <c r="X50" s="46">
        <v>4007.2</v>
      </c>
      <c r="Y50" s="46"/>
      <c r="Z50" s="46">
        <f t="shared" si="39"/>
        <v>61.200000000000273</v>
      </c>
      <c r="AA50" s="39">
        <f t="shared" si="40"/>
        <v>1.5042768655982763E-2</v>
      </c>
      <c r="AB50" s="73">
        <v>4068.42</v>
      </c>
      <c r="AC50" s="73"/>
      <c r="AD50" s="73"/>
      <c r="AE50" s="39"/>
      <c r="AF50" s="74"/>
      <c r="AG50" s="74"/>
      <c r="AH50" s="75"/>
      <c r="AI50" s="75">
        <f t="shared" si="26"/>
        <v>0</v>
      </c>
      <c r="AJ50" s="32"/>
      <c r="AK50" s="32"/>
      <c r="AL50" s="32"/>
      <c r="AM50" s="33"/>
      <c r="AN50" s="33"/>
      <c r="AO50" s="33"/>
      <c r="AP50" s="34">
        <f t="shared" si="27"/>
        <v>0</v>
      </c>
      <c r="AQ50" s="32">
        <f t="shared" si="28"/>
        <v>0</v>
      </c>
      <c r="AR50" s="32">
        <f t="shared" si="29"/>
        <v>0</v>
      </c>
      <c r="AS50" s="32"/>
      <c r="AT50" s="32"/>
      <c r="AU50" s="32"/>
      <c r="AV50" s="32"/>
      <c r="AW50" s="32"/>
      <c r="AX50" s="32"/>
      <c r="AY50" s="32"/>
      <c r="AZ50" s="35"/>
      <c r="BB50" s="45">
        <f t="shared" si="41"/>
        <v>4068.42</v>
      </c>
      <c r="BC50" s="45">
        <f t="shared" si="42"/>
        <v>4007.2</v>
      </c>
      <c r="BD50" s="45"/>
      <c r="BE50" s="45">
        <f t="shared" si="30"/>
        <v>61.220000000000255</v>
      </c>
      <c r="BF50" s="39">
        <f t="shared" si="31"/>
        <v>1.5047610620339161E-2</v>
      </c>
    </row>
    <row r="51" spans="1:58" s="20" customFormat="1" ht="12.75" x14ac:dyDescent="0.2">
      <c r="A51" s="21">
        <f>IF(ISBLANK(F51),"",COUNTA($F$6:F51))</f>
        <v>46</v>
      </c>
      <c r="B51" s="37" t="s">
        <v>60</v>
      </c>
      <c r="C51" s="37" t="s">
        <v>61</v>
      </c>
      <c r="D51" s="22"/>
      <c r="E51" s="23" t="s">
        <v>63</v>
      </c>
      <c r="F51" s="36">
        <v>46216</v>
      </c>
      <c r="G51" s="24" t="s">
        <v>59</v>
      </c>
      <c r="H51" s="24">
        <v>58</v>
      </c>
      <c r="I51" s="24">
        <v>0</v>
      </c>
      <c r="J51" s="24" t="s">
        <v>63</v>
      </c>
      <c r="K51" s="25">
        <v>162006293</v>
      </c>
      <c r="L51" s="26">
        <v>46216</v>
      </c>
      <c r="M51" s="38">
        <v>46217</v>
      </c>
      <c r="N51" s="52">
        <v>16376</v>
      </c>
      <c r="O51" s="27"/>
      <c r="P51" s="27"/>
      <c r="Q51" s="27"/>
      <c r="R51" s="46">
        <v>5215.87</v>
      </c>
      <c r="S51" s="46">
        <v>1207.8699999999999</v>
      </c>
      <c r="T51" s="46">
        <f t="shared" si="25"/>
        <v>4008</v>
      </c>
      <c r="U51" s="46">
        <v>4010</v>
      </c>
      <c r="V51" s="46"/>
      <c r="W51" s="46"/>
      <c r="X51" s="46">
        <v>3913</v>
      </c>
      <c r="Y51" s="46"/>
      <c r="Z51" s="46">
        <f t="shared" si="39"/>
        <v>95</v>
      </c>
      <c r="AA51" s="39">
        <f t="shared" si="40"/>
        <v>2.370259481037924E-2</v>
      </c>
      <c r="AB51" s="73">
        <v>4007.95</v>
      </c>
      <c r="AC51" s="73"/>
      <c r="AD51" s="73"/>
      <c r="AE51" s="39"/>
      <c r="AF51" s="74"/>
      <c r="AG51" s="74"/>
      <c r="AH51" s="75"/>
      <c r="AI51" s="75">
        <f t="shared" si="26"/>
        <v>0</v>
      </c>
      <c r="AJ51" s="32"/>
      <c r="AK51" s="32"/>
      <c r="AL51" s="32"/>
      <c r="AM51" s="33"/>
      <c r="AN51" s="33"/>
      <c r="AO51" s="33"/>
      <c r="AP51" s="34">
        <f t="shared" si="27"/>
        <v>0</v>
      </c>
      <c r="AQ51" s="32">
        <f t="shared" si="28"/>
        <v>0</v>
      </c>
      <c r="AR51" s="32">
        <f t="shared" si="29"/>
        <v>0</v>
      </c>
      <c r="AS51" s="32"/>
      <c r="AT51" s="32"/>
      <c r="AU51" s="32"/>
      <c r="AV51" s="32"/>
      <c r="AW51" s="32"/>
      <c r="AX51" s="32"/>
      <c r="AY51" s="32"/>
      <c r="AZ51" s="35"/>
      <c r="BB51" s="45">
        <f t="shared" si="41"/>
        <v>4007.95</v>
      </c>
      <c r="BC51" s="45">
        <f t="shared" si="42"/>
        <v>3913</v>
      </c>
      <c r="BD51" s="45"/>
      <c r="BE51" s="45">
        <f t="shared" si="30"/>
        <v>94.949999999999818</v>
      </c>
      <c r="BF51" s="39">
        <f t="shared" si="31"/>
        <v>2.3690415299592017E-2</v>
      </c>
    </row>
    <row r="52" spans="1:58" s="20" customFormat="1" ht="12.75" x14ac:dyDescent="0.2">
      <c r="A52" s="21">
        <f>IF(ISBLANK(F52),"",COUNTA($F$6:F52))</f>
        <v>47</v>
      </c>
      <c r="B52" s="37" t="s">
        <v>60</v>
      </c>
      <c r="C52" s="37" t="s">
        <v>61</v>
      </c>
      <c r="D52" s="22"/>
      <c r="E52" s="23" t="s">
        <v>64</v>
      </c>
      <c r="F52" s="36">
        <v>46216</v>
      </c>
      <c r="G52" s="24" t="s">
        <v>59</v>
      </c>
      <c r="H52" s="24">
        <v>58</v>
      </c>
      <c r="I52" s="24">
        <v>0</v>
      </c>
      <c r="J52" s="24" t="s">
        <v>64</v>
      </c>
      <c r="K52" s="25">
        <v>162004325</v>
      </c>
      <c r="L52" s="26">
        <v>46216</v>
      </c>
      <c r="M52" s="38">
        <v>46219</v>
      </c>
      <c r="N52" s="52">
        <v>16384</v>
      </c>
      <c r="O52" s="27"/>
      <c r="P52" s="27"/>
      <c r="Q52" s="27"/>
      <c r="R52" s="46">
        <v>5180.53</v>
      </c>
      <c r="S52" s="46">
        <v>1219.5299999999997</v>
      </c>
      <c r="T52" s="46">
        <f t="shared" si="25"/>
        <v>3961</v>
      </c>
      <c r="U52" s="46">
        <v>3982.2</v>
      </c>
      <c r="V52" s="46"/>
      <c r="W52" s="46"/>
      <c r="X52" s="46">
        <v>3898.8</v>
      </c>
      <c r="Y52" s="46"/>
      <c r="Z52" s="46">
        <f t="shared" si="39"/>
        <v>62.199999999999818</v>
      </c>
      <c r="AA52" s="39">
        <f t="shared" si="40"/>
        <v>1.5703105276445296E-2</v>
      </c>
      <c r="AB52" s="73">
        <v>3960.95</v>
      </c>
      <c r="AC52" s="73"/>
      <c r="AD52" s="73"/>
      <c r="AE52" s="39"/>
      <c r="AF52" s="74"/>
      <c r="AG52" s="74"/>
      <c r="AH52" s="75"/>
      <c r="AI52" s="75">
        <f t="shared" si="26"/>
        <v>0</v>
      </c>
      <c r="AJ52" s="32"/>
      <c r="AK52" s="32"/>
      <c r="AL52" s="32"/>
      <c r="AM52" s="33"/>
      <c r="AN52" s="33"/>
      <c r="AO52" s="33"/>
      <c r="AP52" s="34">
        <f t="shared" si="27"/>
        <v>0</v>
      </c>
      <c r="AQ52" s="32">
        <f t="shared" si="28"/>
        <v>0</v>
      </c>
      <c r="AR52" s="32">
        <f t="shared" si="29"/>
        <v>0</v>
      </c>
      <c r="AS52" s="32"/>
      <c r="AT52" s="32"/>
      <c r="AU52" s="32"/>
      <c r="AV52" s="32"/>
      <c r="AW52" s="32"/>
      <c r="AX52" s="32"/>
      <c r="AY52" s="32"/>
      <c r="AZ52" s="35"/>
      <c r="BB52" s="45">
        <f t="shared" si="41"/>
        <v>3960.95</v>
      </c>
      <c r="BC52" s="45">
        <f t="shared" si="42"/>
        <v>3898.8</v>
      </c>
      <c r="BD52" s="45"/>
      <c r="BE52" s="45">
        <f t="shared" si="30"/>
        <v>62.149999999999636</v>
      </c>
      <c r="BF52" s="39">
        <f t="shared" si="31"/>
        <v>1.5690680266097688E-2</v>
      </c>
    </row>
    <row r="53" spans="1:58" s="20" customFormat="1" ht="12.75" x14ac:dyDescent="0.2">
      <c r="A53" s="21">
        <f>IF(ISBLANK(F53),"",COUNTA($F$6:F53))</f>
        <v>48</v>
      </c>
      <c r="B53" s="37" t="s">
        <v>60</v>
      </c>
      <c r="C53" s="37" t="s">
        <v>61</v>
      </c>
      <c r="D53" s="22"/>
      <c r="E53" s="23" t="s">
        <v>66</v>
      </c>
      <c r="F53" s="36">
        <v>46216</v>
      </c>
      <c r="G53" s="24" t="s">
        <v>59</v>
      </c>
      <c r="H53" s="24">
        <v>56</v>
      </c>
      <c r="I53" s="24">
        <v>0</v>
      </c>
      <c r="J53" s="24" t="s">
        <v>66</v>
      </c>
      <c r="K53" s="25">
        <v>162003175</v>
      </c>
      <c r="L53" s="26">
        <v>46216</v>
      </c>
      <c r="M53" s="38">
        <v>46218</v>
      </c>
      <c r="N53" s="52">
        <v>16381</v>
      </c>
      <c r="O53" s="27"/>
      <c r="P53" s="27"/>
      <c r="Q53" s="27"/>
      <c r="R53" s="46">
        <v>5025.59</v>
      </c>
      <c r="S53" s="46">
        <v>1186.8900000000003</v>
      </c>
      <c r="T53" s="46">
        <f t="shared" si="25"/>
        <v>3838.7</v>
      </c>
      <c r="U53" s="46">
        <v>3837.6</v>
      </c>
      <c r="V53" s="46"/>
      <c r="W53" s="46"/>
      <c r="X53" s="46">
        <v>3760.2</v>
      </c>
      <c r="Y53" s="46"/>
      <c r="Z53" s="46">
        <f t="shared" si="39"/>
        <v>78.5</v>
      </c>
      <c r="AA53" s="39">
        <f t="shared" si="40"/>
        <v>2.0449631385625344E-2</v>
      </c>
      <c r="AB53" s="73">
        <v>3838.72</v>
      </c>
      <c r="AC53" s="73"/>
      <c r="AD53" s="73"/>
      <c r="AE53" s="39"/>
      <c r="AF53" s="74"/>
      <c r="AG53" s="74"/>
      <c r="AH53" s="75"/>
      <c r="AI53" s="75">
        <f t="shared" si="26"/>
        <v>0</v>
      </c>
      <c r="AJ53" s="32"/>
      <c r="AK53" s="32"/>
      <c r="AL53" s="32"/>
      <c r="AM53" s="33"/>
      <c r="AN53" s="33"/>
      <c r="AO53" s="33"/>
      <c r="AP53" s="34">
        <f t="shared" si="27"/>
        <v>0</v>
      </c>
      <c r="AQ53" s="32">
        <f t="shared" si="28"/>
        <v>0</v>
      </c>
      <c r="AR53" s="32">
        <f t="shared" si="29"/>
        <v>0</v>
      </c>
      <c r="AS53" s="32"/>
      <c r="AT53" s="32"/>
      <c r="AU53" s="32"/>
      <c r="AV53" s="32"/>
      <c r="AW53" s="32"/>
      <c r="AX53" s="32"/>
      <c r="AY53" s="32"/>
      <c r="AZ53" s="35"/>
      <c r="BB53" s="45">
        <f t="shared" si="41"/>
        <v>3838.72</v>
      </c>
      <c r="BC53" s="45">
        <f t="shared" si="42"/>
        <v>3760.2</v>
      </c>
      <c r="BD53" s="45"/>
      <c r="BE53" s="45">
        <f t="shared" si="30"/>
        <v>78.519999999999982</v>
      </c>
      <c r="BF53" s="39">
        <f t="shared" si="31"/>
        <v>2.0454734911637209E-2</v>
      </c>
    </row>
    <row r="54" spans="1:58" s="20" customFormat="1" ht="12.75" x14ac:dyDescent="0.2">
      <c r="A54" s="21">
        <f>IF(ISBLANK(F54),"",COUNTA($F$6:F54))</f>
        <v>49</v>
      </c>
      <c r="B54" s="37" t="s">
        <v>60</v>
      </c>
      <c r="C54" s="37" t="s">
        <v>61</v>
      </c>
      <c r="D54" s="22"/>
      <c r="E54" s="23" t="s">
        <v>68</v>
      </c>
      <c r="F54" s="36">
        <v>46216</v>
      </c>
      <c r="G54" s="24" t="s">
        <v>59</v>
      </c>
      <c r="H54" s="24">
        <v>58</v>
      </c>
      <c r="I54" s="24">
        <v>2</v>
      </c>
      <c r="J54" s="24" t="s">
        <v>68</v>
      </c>
      <c r="K54" s="25">
        <v>162001378</v>
      </c>
      <c r="L54" s="26">
        <v>46217</v>
      </c>
      <c r="M54" s="38">
        <v>46218</v>
      </c>
      <c r="N54" s="52">
        <v>16378</v>
      </c>
      <c r="O54" s="27"/>
      <c r="P54" s="27"/>
      <c r="Q54" s="27"/>
      <c r="R54" s="46">
        <v>5003.1099999999997</v>
      </c>
      <c r="S54" s="46">
        <v>1171.9099999999999</v>
      </c>
      <c r="T54" s="46">
        <f t="shared" si="0"/>
        <v>3831.2</v>
      </c>
      <c r="U54" s="46">
        <v>3848.6</v>
      </c>
      <c r="V54" s="46"/>
      <c r="W54" s="46"/>
      <c r="X54" s="46">
        <v>3792.6</v>
      </c>
      <c r="Y54" s="46"/>
      <c r="Z54" s="46">
        <f t="shared" si="39"/>
        <v>38.599999999999909</v>
      </c>
      <c r="AA54" s="39">
        <f t="shared" si="40"/>
        <v>1.0075172269784901E-2</v>
      </c>
      <c r="AB54" s="73">
        <v>3831.2</v>
      </c>
      <c r="AC54" s="73"/>
      <c r="AD54" s="73"/>
      <c r="AE54" s="39"/>
      <c r="AF54" s="74"/>
      <c r="AG54" s="74"/>
      <c r="AH54" s="75"/>
      <c r="AI54" s="75">
        <f t="shared" si="3"/>
        <v>0</v>
      </c>
      <c r="AJ54" s="32"/>
      <c r="AK54" s="32"/>
      <c r="AL54" s="32"/>
      <c r="AM54" s="33"/>
      <c r="AN54" s="33"/>
      <c r="AO54" s="33"/>
      <c r="AP54" s="34">
        <f t="shared" si="4"/>
        <v>0</v>
      </c>
      <c r="AQ54" s="32">
        <f t="shared" si="5"/>
        <v>0</v>
      </c>
      <c r="AR54" s="32">
        <f t="shared" si="6"/>
        <v>0</v>
      </c>
      <c r="AS54" s="32"/>
      <c r="AT54" s="32"/>
      <c r="AU54" s="32"/>
      <c r="AV54" s="32"/>
      <c r="AW54" s="32"/>
      <c r="AX54" s="32"/>
      <c r="AY54" s="32"/>
      <c r="AZ54" s="35"/>
      <c r="BB54" s="45">
        <f t="shared" si="41"/>
        <v>3831.2</v>
      </c>
      <c r="BC54" s="45">
        <f t="shared" si="42"/>
        <v>3792.6</v>
      </c>
      <c r="BD54" s="45"/>
      <c r="BE54" s="45">
        <f t="shared" si="23"/>
        <v>38.599999999999909</v>
      </c>
      <c r="BF54" s="39">
        <f t="shared" si="24"/>
        <v>1.0075172269784901E-2</v>
      </c>
    </row>
    <row r="55" spans="1:58" s="20" customFormat="1" ht="12.75" x14ac:dyDescent="0.2">
      <c r="A55" s="21">
        <f>IF(ISBLANK(F55),"",COUNTA($F$6:F55))</f>
        <v>50</v>
      </c>
      <c r="B55" s="37" t="s">
        <v>60</v>
      </c>
      <c r="C55" s="37" t="s">
        <v>61</v>
      </c>
      <c r="D55" s="22"/>
      <c r="E55" s="23" t="s">
        <v>62</v>
      </c>
      <c r="F55" s="36">
        <v>46217</v>
      </c>
      <c r="G55" s="24" t="s">
        <v>59</v>
      </c>
      <c r="H55" s="24">
        <v>58</v>
      </c>
      <c r="I55" s="24">
        <v>0</v>
      </c>
      <c r="J55" s="24" t="s">
        <v>62</v>
      </c>
      <c r="K55" s="25">
        <v>162008461</v>
      </c>
      <c r="L55" s="26">
        <v>46217</v>
      </c>
      <c r="M55" s="38">
        <v>46218</v>
      </c>
      <c r="N55" s="52">
        <v>16380</v>
      </c>
      <c r="O55" s="27"/>
      <c r="P55" s="27"/>
      <c r="Q55" s="27"/>
      <c r="R55" s="46">
        <v>4947.55</v>
      </c>
      <c r="S55" s="46">
        <v>1155.75</v>
      </c>
      <c r="T55" s="46">
        <f t="shared" si="0"/>
        <v>3791.8</v>
      </c>
      <c r="U55" s="46">
        <v>3794.8</v>
      </c>
      <c r="V55" s="46"/>
      <c r="W55" s="46"/>
      <c r="X55" s="46">
        <v>3768.2</v>
      </c>
      <c r="Y55" s="46"/>
      <c r="Z55" s="46">
        <f t="shared" si="39"/>
        <v>23.600000000000364</v>
      </c>
      <c r="AA55" s="39">
        <f t="shared" si="40"/>
        <v>6.2239569597553569E-3</v>
      </c>
      <c r="AB55" s="73">
        <v>3791.8</v>
      </c>
      <c r="AC55" s="73"/>
      <c r="AD55" s="73"/>
      <c r="AE55" s="39"/>
      <c r="AF55" s="74"/>
      <c r="AG55" s="74"/>
      <c r="AH55" s="75"/>
      <c r="AI55" s="75">
        <f t="shared" si="3"/>
        <v>0</v>
      </c>
      <c r="AJ55" s="32"/>
      <c r="AK55" s="32"/>
      <c r="AL55" s="32"/>
      <c r="AM55" s="33"/>
      <c r="AN55" s="33"/>
      <c r="AO55" s="33"/>
      <c r="AP55" s="34">
        <f t="shared" si="4"/>
        <v>0</v>
      </c>
      <c r="AQ55" s="32">
        <f t="shared" si="5"/>
        <v>0</v>
      </c>
      <c r="AR55" s="32">
        <f t="shared" si="6"/>
        <v>0</v>
      </c>
      <c r="AS55" s="32"/>
      <c r="AT55" s="32"/>
      <c r="AU55" s="32"/>
      <c r="AV55" s="32"/>
      <c r="AW55" s="32"/>
      <c r="AX55" s="32"/>
      <c r="AY55" s="32"/>
      <c r="AZ55" s="35"/>
      <c r="BB55" s="45">
        <f t="shared" si="41"/>
        <v>3791.8</v>
      </c>
      <c r="BC55" s="45">
        <f t="shared" si="42"/>
        <v>3768.2</v>
      </c>
      <c r="BD55" s="45"/>
      <c r="BE55" s="45">
        <f t="shared" si="23"/>
        <v>23.600000000000364</v>
      </c>
      <c r="BF55" s="39">
        <f t="shared" si="24"/>
        <v>6.2239569597553569E-3</v>
      </c>
    </row>
    <row r="56" spans="1:58" s="20" customFormat="1" ht="12.75" x14ac:dyDescent="0.2">
      <c r="A56" s="21">
        <f>IF(ISBLANK(F56),"",COUNTA($F$6:F56))</f>
        <v>51</v>
      </c>
      <c r="B56" s="37" t="s">
        <v>60</v>
      </c>
      <c r="C56" s="37" t="s">
        <v>61</v>
      </c>
      <c r="D56" s="22"/>
      <c r="E56" s="23" t="s">
        <v>63</v>
      </c>
      <c r="F56" s="36">
        <v>46217</v>
      </c>
      <c r="G56" s="24" t="s">
        <v>59</v>
      </c>
      <c r="H56" s="24">
        <v>59</v>
      </c>
      <c r="I56" s="24">
        <v>3</v>
      </c>
      <c r="J56" s="24" t="s">
        <v>63</v>
      </c>
      <c r="K56" s="25">
        <v>162006298</v>
      </c>
      <c r="L56" s="26">
        <v>46217</v>
      </c>
      <c r="M56" s="38">
        <v>46219</v>
      </c>
      <c r="N56" s="52">
        <v>16385</v>
      </c>
      <c r="O56" s="27"/>
      <c r="P56" s="27"/>
      <c r="Q56" s="27"/>
      <c r="R56" s="46">
        <v>5018.87</v>
      </c>
      <c r="S56" s="46">
        <v>1178.77</v>
      </c>
      <c r="T56" s="46">
        <f t="shared" si="0"/>
        <v>3840.1</v>
      </c>
      <c r="U56" s="46">
        <v>3848.2</v>
      </c>
      <c r="V56" s="46"/>
      <c r="W56" s="46"/>
      <c r="X56" s="46">
        <v>3746.8</v>
      </c>
      <c r="Y56" s="46"/>
      <c r="Z56" s="46">
        <f t="shared" si="39"/>
        <v>93.299999999999727</v>
      </c>
      <c r="AA56" s="39">
        <f t="shared" si="40"/>
        <v>2.4296242285357081E-2</v>
      </c>
      <c r="AB56" s="73">
        <v>3840.05</v>
      </c>
      <c r="AC56" s="73"/>
      <c r="AD56" s="73"/>
      <c r="AE56" s="39"/>
      <c r="AF56" s="74"/>
      <c r="AG56" s="74"/>
      <c r="AH56" s="75"/>
      <c r="AI56" s="75">
        <f t="shared" si="3"/>
        <v>0</v>
      </c>
      <c r="AJ56" s="32"/>
      <c r="AK56" s="32"/>
      <c r="AL56" s="32"/>
      <c r="AM56" s="33"/>
      <c r="AN56" s="33"/>
      <c r="AO56" s="33"/>
      <c r="AP56" s="34">
        <f t="shared" si="4"/>
        <v>0</v>
      </c>
      <c r="AQ56" s="32">
        <f t="shared" si="5"/>
        <v>0</v>
      </c>
      <c r="AR56" s="32">
        <f t="shared" si="6"/>
        <v>0</v>
      </c>
      <c r="AS56" s="32"/>
      <c r="AT56" s="32"/>
      <c r="AU56" s="32"/>
      <c r="AV56" s="32"/>
      <c r="AW56" s="32"/>
      <c r="AX56" s="32"/>
      <c r="AY56" s="32"/>
      <c r="AZ56" s="35"/>
      <c r="BB56" s="45">
        <f t="shared" si="41"/>
        <v>3840.05</v>
      </c>
      <c r="BC56" s="45">
        <f t="shared" si="42"/>
        <v>3746.8</v>
      </c>
      <c r="BD56" s="45"/>
      <c r="BE56" s="45">
        <f t="shared" si="23"/>
        <v>93.25</v>
      </c>
      <c r="BF56" s="39">
        <f t="shared" si="24"/>
        <v>2.4283537974765953E-2</v>
      </c>
    </row>
    <row r="57" spans="1:58" s="20" customFormat="1" ht="12.75" x14ac:dyDescent="0.2">
      <c r="A57" s="21">
        <f>IF(ISBLANK(F57),"",COUNTA($F$6:F57))</f>
        <v>52</v>
      </c>
      <c r="B57" s="37" t="s">
        <v>60</v>
      </c>
      <c r="C57" s="37" t="s">
        <v>61</v>
      </c>
      <c r="D57" s="22"/>
      <c r="E57" s="23" t="s">
        <v>65</v>
      </c>
      <c r="F57" s="36">
        <v>46217</v>
      </c>
      <c r="G57" s="24" t="s">
        <v>59</v>
      </c>
      <c r="H57" s="24">
        <v>58</v>
      </c>
      <c r="I57" s="24">
        <v>4</v>
      </c>
      <c r="J57" s="24" t="s">
        <v>67</v>
      </c>
      <c r="K57" s="25">
        <v>162011638</v>
      </c>
      <c r="L57" s="26">
        <v>46217</v>
      </c>
      <c r="M57" s="38">
        <v>46220</v>
      </c>
      <c r="N57" s="52">
        <v>16390</v>
      </c>
      <c r="O57" s="27"/>
      <c r="P57" s="27"/>
      <c r="Q57" s="27"/>
      <c r="R57" s="46">
        <v>4866.12</v>
      </c>
      <c r="S57" s="46">
        <v>1120.7199999999998</v>
      </c>
      <c r="T57" s="46">
        <f t="shared" si="0"/>
        <v>3745.4</v>
      </c>
      <c r="U57" s="46">
        <v>3757.6</v>
      </c>
      <c r="V57" s="46"/>
      <c r="W57" s="46"/>
      <c r="X57" s="46">
        <v>3626.8</v>
      </c>
      <c r="Y57" s="46"/>
      <c r="Z57" s="46">
        <f t="shared" si="39"/>
        <v>118.59999999999991</v>
      </c>
      <c r="AA57" s="39">
        <f t="shared" si="40"/>
        <v>3.1665509691888694E-2</v>
      </c>
      <c r="AB57" s="73">
        <v>3849.55</v>
      </c>
      <c r="AC57" s="73"/>
      <c r="AD57" s="73"/>
      <c r="AE57" s="39"/>
      <c r="AF57" s="74"/>
      <c r="AG57" s="74"/>
      <c r="AH57" s="75"/>
      <c r="AI57" s="75">
        <f t="shared" si="3"/>
        <v>0</v>
      </c>
      <c r="AJ57" s="32"/>
      <c r="AK57" s="32"/>
      <c r="AL57" s="32"/>
      <c r="AM57" s="33"/>
      <c r="AN57" s="33"/>
      <c r="AO57" s="33"/>
      <c r="AP57" s="34">
        <f t="shared" si="4"/>
        <v>0</v>
      </c>
      <c r="AQ57" s="32">
        <f t="shared" si="5"/>
        <v>0</v>
      </c>
      <c r="AR57" s="32">
        <f t="shared" si="6"/>
        <v>0</v>
      </c>
      <c r="AS57" s="32"/>
      <c r="AT57" s="32"/>
      <c r="AU57" s="32"/>
      <c r="AV57" s="32"/>
      <c r="AW57" s="32"/>
      <c r="AX57" s="32"/>
      <c r="AY57" s="32"/>
      <c r="AZ57" s="35"/>
      <c r="BB57" s="45">
        <f t="shared" si="41"/>
        <v>3849.55</v>
      </c>
      <c r="BC57" s="45">
        <f t="shared" si="42"/>
        <v>3626.8</v>
      </c>
      <c r="BD57" s="45"/>
      <c r="BE57" s="45">
        <f t="shared" si="23"/>
        <v>222.75</v>
      </c>
      <c r="BF57" s="39">
        <f t="shared" si="24"/>
        <v>5.7863906170851138E-2</v>
      </c>
    </row>
    <row r="58" spans="1:58" s="20" customFormat="1" ht="12.75" x14ac:dyDescent="0.2">
      <c r="A58" s="21">
        <f>IF(ISBLANK(F58),"",COUNTA($F$6:F58))</f>
        <v>53</v>
      </c>
      <c r="B58" s="37" t="s">
        <v>60</v>
      </c>
      <c r="C58" s="37" t="s">
        <v>61</v>
      </c>
      <c r="D58" s="22"/>
      <c r="E58" s="23" t="s">
        <v>65</v>
      </c>
      <c r="F58" s="36">
        <v>46217</v>
      </c>
      <c r="G58" s="24" t="s">
        <v>59</v>
      </c>
      <c r="H58" s="24">
        <v>58</v>
      </c>
      <c r="I58" s="24">
        <v>0</v>
      </c>
      <c r="J58" s="24" t="s">
        <v>67</v>
      </c>
      <c r="K58" s="25">
        <v>162011639</v>
      </c>
      <c r="L58" s="26">
        <v>46218</v>
      </c>
      <c r="M58" s="38">
        <v>46220</v>
      </c>
      <c r="N58" s="52">
        <v>16389</v>
      </c>
      <c r="O58" s="27"/>
      <c r="P58" s="27"/>
      <c r="Q58" s="27"/>
      <c r="R58" s="46">
        <v>5223.2</v>
      </c>
      <c r="S58" s="46">
        <v>1209</v>
      </c>
      <c r="T58" s="46">
        <f t="shared" si="0"/>
        <v>4014.2</v>
      </c>
      <c r="U58" s="46">
        <v>4015.4</v>
      </c>
      <c r="V58" s="46"/>
      <c r="W58" s="46"/>
      <c r="X58" s="46">
        <v>3858.2</v>
      </c>
      <c r="Y58" s="46"/>
      <c r="Z58" s="46">
        <f t="shared" si="39"/>
        <v>156</v>
      </c>
      <c r="AA58" s="39">
        <f t="shared" si="40"/>
        <v>3.8862039758856062E-2</v>
      </c>
      <c r="AB58" s="73">
        <v>4014.2</v>
      </c>
      <c r="AC58" s="73"/>
      <c r="AD58" s="73"/>
      <c r="AE58" s="39"/>
      <c r="AF58" s="74"/>
      <c r="AG58" s="74"/>
      <c r="AH58" s="75"/>
      <c r="AI58" s="75">
        <f t="shared" si="3"/>
        <v>0</v>
      </c>
      <c r="AJ58" s="32"/>
      <c r="AK58" s="32"/>
      <c r="AL58" s="32"/>
      <c r="AM58" s="33"/>
      <c r="AN58" s="33"/>
      <c r="AO58" s="33"/>
      <c r="AP58" s="34">
        <f t="shared" si="4"/>
        <v>0</v>
      </c>
      <c r="AQ58" s="32">
        <f t="shared" si="5"/>
        <v>0</v>
      </c>
      <c r="AR58" s="32">
        <f t="shared" si="6"/>
        <v>0</v>
      </c>
      <c r="AS58" s="32"/>
      <c r="AT58" s="32"/>
      <c r="AU58" s="32"/>
      <c r="AV58" s="32"/>
      <c r="AW58" s="32"/>
      <c r="AX58" s="32"/>
      <c r="AY58" s="32"/>
      <c r="AZ58" s="35"/>
      <c r="BB58" s="45">
        <f t="shared" si="41"/>
        <v>4014.2</v>
      </c>
      <c r="BC58" s="45">
        <f t="shared" si="42"/>
        <v>3858.2</v>
      </c>
      <c r="BD58" s="45"/>
      <c r="BE58" s="45">
        <f t="shared" si="23"/>
        <v>156</v>
      </c>
      <c r="BF58" s="39">
        <f t="shared" si="24"/>
        <v>3.8862039758856062E-2</v>
      </c>
    </row>
    <row r="59" spans="1:58" s="20" customFormat="1" ht="12.75" x14ac:dyDescent="0.2">
      <c r="A59" s="21">
        <f>IF(ISBLANK(F59),"",COUNTA($F$6:F59))</f>
        <v>54</v>
      </c>
      <c r="B59" s="37" t="s">
        <v>60</v>
      </c>
      <c r="C59" s="37" t="s">
        <v>61</v>
      </c>
      <c r="D59" s="22"/>
      <c r="E59" s="23" t="s">
        <v>62</v>
      </c>
      <c r="F59" s="36">
        <v>46218</v>
      </c>
      <c r="G59" s="24" t="s">
        <v>59</v>
      </c>
      <c r="H59" s="24">
        <v>58</v>
      </c>
      <c r="I59" s="24">
        <v>0</v>
      </c>
      <c r="J59" s="24" t="s">
        <v>62</v>
      </c>
      <c r="K59" s="25">
        <v>162008465</v>
      </c>
      <c r="L59" s="26">
        <v>46218</v>
      </c>
      <c r="M59" s="38">
        <v>46219</v>
      </c>
      <c r="N59" s="52">
        <v>16387</v>
      </c>
      <c r="O59" s="27"/>
      <c r="P59" s="27"/>
      <c r="Q59" s="27"/>
      <c r="R59" s="46">
        <v>5204.37</v>
      </c>
      <c r="S59" s="46">
        <v>1220.77</v>
      </c>
      <c r="T59" s="46">
        <f t="shared" si="0"/>
        <v>3983.6</v>
      </c>
      <c r="U59" s="46">
        <v>3989.2</v>
      </c>
      <c r="V59" s="46"/>
      <c r="W59" s="46"/>
      <c r="X59" s="46">
        <v>3941.2</v>
      </c>
      <c r="Y59" s="46"/>
      <c r="Z59" s="46">
        <f t="shared" si="39"/>
        <v>42.400000000000091</v>
      </c>
      <c r="AA59" s="39">
        <f t="shared" si="40"/>
        <v>1.0643638919570261E-2</v>
      </c>
      <c r="AB59" s="73">
        <v>3983.6</v>
      </c>
      <c r="AC59" s="73"/>
      <c r="AD59" s="73"/>
      <c r="AE59" s="39"/>
      <c r="AF59" s="74"/>
      <c r="AG59" s="74"/>
      <c r="AH59" s="75"/>
      <c r="AI59" s="75">
        <f t="shared" si="3"/>
        <v>0</v>
      </c>
      <c r="AJ59" s="32"/>
      <c r="AK59" s="32"/>
      <c r="AL59" s="32"/>
      <c r="AM59" s="33"/>
      <c r="AN59" s="33"/>
      <c r="AO59" s="33"/>
      <c r="AP59" s="34">
        <f t="shared" si="4"/>
        <v>0</v>
      </c>
      <c r="AQ59" s="32">
        <f t="shared" si="5"/>
        <v>0</v>
      </c>
      <c r="AR59" s="32">
        <f t="shared" si="6"/>
        <v>0</v>
      </c>
      <c r="AS59" s="32"/>
      <c r="AT59" s="32"/>
      <c r="AU59" s="32"/>
      <c r="AV59" s="32"/>
      <c r="AW59" s="32"/>
      <c r="AX59" s="32"/>
      <c r="AY59" s="32"/>
      <c r="AZ59" s="35"/>
      <c r="BB59" s="45">
        <f t="shared" si="41"/>
        <v>3983.6</v>
      </c>
      <c r="BC59" s="45">
        <f t="shared" si="42"/>
        <v>3941.2</v>
      </c>
      <c r="BD59" s="45"/>
      <c r="BE59" s="45">
        <f t="shared" si="23"/>
        <v>42.400000000000091</v>
      </c>
      <c r="BF59" s="39">
        <f t="shared" si="24"/>
        <v>1.0643638919570261E-2</v>
      </c>
    </row>
    <row r="60" spans="1:58" s="20" customFormat="1" ht="12.75" x14ac:dyDescent="0.2">
      <c r="A60" s="21">
        <f>IF(ISBLANK(F60),"",COUNTA($F$6:F60))</f>
        <v>55</v>
      </c>
      <c r="B60" s="37" t="s">
        <v>60</v>
      </c>
      <c r="C60" s="37" t="s">
        <v>61</v>
      </c>
      <c r="D60" s="22"/>
      <c r="E60" s="23" t="s">
        <v>63</v>
      </c>
      <c r="F60" s="36">
        <v>46218</v>
      </c>
      <c r="G60" s="24" t="s">
        <v>59</v>
      </c>
      <c r="H60" s="24">
        <v>58</v>
      </c>
      <c r="I60" s="24">
        <v>6</v>
      </c>
      <c r="J60" s="24" t="s">
        <v>63</v>
      </c>
      <c r="K60" s="25">
        <v>162006305</v>
      </c>
      <c r="L60" s="26">
        <v>46218</v>
      </c>
      <c r="M60" s="38">
        <v>46220</v>
      </c>
      <c r="N60" s="52">
        <v>16388</v>
      </c>
      <c r="O60" s="27"/>
      <c r="P60" s="27"/>
      <c r="Q60" s="27"/>
      <c r="R60" s="46">
        <v>4651.08</v>
      </c>
      <c r="S60" s="46">
        <v>1105.2799999999997</v>
      </c>
      <c r="T60" s="46">
        <f t="shared" si="0"/>
        <v>3545.8</v>
      </c>
      <c r="U60" s="46">
        <v>3560.8</v>
      </c>
      <c r="V60" s="46"/>
      <c r="W60" s="46"/>
      <c r="X60" s="46">
        <v>3448.27</v>
      </c>
      <c r="Y60" s="46"/>
      <c r="Z60" s="46">
        <f t="shared" si="39"/>
        <v>97.5300000000002</v>
      </c>
      <c r="AA60" s="39">
        <f t="shared" si="40"/>
        <v>2.750578148795764E-2</v>
      </c>
      <c r="AB60" s="73">
        <v>3545.75</v>
      </c>
      <c r="AC60" s="73"/>
      <c r="AD60" s="73"/>
      <c r="AE60" s="39"/>
      <c r="AF60" s="74"/>
      <c r="AG60" s="74"/>
      <c r="AH60" s="75"/>
      <c r="AI60" s="75">
        <f t="shared" si="3"/>
        <v>0</v>
      </c>
      <c r="AJ60" s="32"/>
      <c r="AK60" s="32"/>
      <c r="AL60" s="32"/>
      <c r="AM60" s="33"/>
      <c r="AN60" s="33"/>
      <c r="AO60" s="33"/>
      <c r="AP60" s="34">
        <f t="shared" si="4"/>
        <v>0</v>
      </c>
      <c r="AQ60" s="32">
        <f t="shared" si="5"/>
        <v>0</v>
      </c>
      <c r="AR60" s="32">
        <f t="shared" si="6"/>
        <v>0</v>
      </c>
      <c r="AS60" s="32"/>
      <c r="AT60" s="32"/>
      <c r="AU60" s="32"/>
      <c r="AV60" s="32"/>
      <c r="AW60" s="32"/>
      <c r="AX60" s="32"/>
      <c r="AY60" s="32"/>
      <c r="AZ60" s="35"/>
      <c r="BB60" s="45">
        <f t="shared" si="41"/>
        <v>3545.75</v>
      </c>
      <c r="BC60" s="45">
        <f t="shared" si="42"/>
        <v>3448.27</v>
      </c>
      <c r="BD60" s="45"/>
      <c r="BE60" s="45">
        <f t="shared" si="23"/>
        <v>97.480000000000018</v>
      </c>
      <c r="BF60" s="39">
        <f t="shared" si="24"/>
        <v>2.7492067968694921E-2</v>
      </c>
    </row>
    <row r="61" spans="1:58" s="20" customFormat="1" ht="12.75" x14ac:dyDescent="0.2">
      <c r="A61" s="21">
        <f>IF(ISBLANK(F61),"",COUNTA($F$6:F61))</f>
        <v>56</v>
      </c>
      <c r="B61" s="37" t="s">
        <v>60</v>
      </c>
      <c r="C61" s="37" t="s">
        <v>61</v>
      </c>
      <c r="D61" s="22"/>
      <c r="E61" s="23" t="s">
        <v>65</v>
      </c>
      <c r="F61" s="36">
        <v>46218</v>
      </c>
      <c r="G61" s="24" t="s">
        <v>59</v>
      </c>
      <c r="H61" s="24">
        <v>58</v>
      </c>
      <c r="I61" s="24">
        <v>2</v>
      </c>
      <c r="J61" s="24" t="s">
        <v>67</v>
      </c>
      <c r="K61" s="25">
        <v>162011640</v>
      </c>
      <c r="L61" s="26">
        <v>46219</v>
      </c>
      <c r="M61" s="38">
        <v>46221</v>
      </c>
      <c r="N61" s="52">
        <v>16394</v>
      </c>
      <c r="O61" s="27"/>
      <c r="P61" s="27"/>
      <c r="Q61" s="27"/>
      <c r="R61" s="46">
        <v>5042.7700000000004</v>
      </c>
      <c r="S61" s="46">
        <v>1179.6700000000005</v>
      </c>
      <c r="T61" s="46">
        <f t="shared" si="0"/>
        <v>3863.1</v>
      </c>
      <c r="U61" s="46">
        <v>3880.4</v>
      </c>
      <c r="V61" s="46"/>
      <c r="W61" s="46"/>
      <c r="X61" s="46">
        <v>3754.8</v>
      </c>
      <c r="Y61" s="46"/>
      <c r="Z61" s="46">
        <f t="shared" si="39"/>
        <v>108.29999999999973</v>
      </c>
      <c r="AA61" s="39">
        <f t="shared" si="40"/>
        <v>2.8034480080764083E-2</v>
      </c>
      <c r="AB61" s="73">
        <v>3967.73</v>
      </c>
      <c r="AC61" s="73"/>
      <c r="AD61" s="73"/>
      <c r="AE61" s="39"/>
      <c r="AF61" s="74"/>
      <c r="AG61" s="74"/>
      <c r="AH61" s="75"/>
      <c r="AI61" s="75">
        <f t="shared" si="3"/>
        <v>0</v>
      </c>
      <c r="AJ61" s="32"/>
      <c r="AK61" s="32"/>
      <c r="AL61" s="32"/>
      <c r="AM61" s="33"/>
      <c r="AN61" s="33"/>
      <c r="AO61" s="33"/>
      <c r="AP61" s="34">
        <f t="shared" si="4"/>
        <v>0</v>
      </c>
      <c r="AQ61" s="32">
        <f t="shared" si="5"/>
        <v>0</v>
      </c>
      <c r="AR61" s="32">
        <f t="shared" si="6"/>
        <v>0</v>
      </c>
      <c r="AS61" s="32"/>
      <c r="AT61" s="32"/>
      <c r="AU61" s="32"/>
      <c r="AV61" s="32"/>
      <c r="AW61" s="32"/>
      <c r="AX61" s="32"/>
      <c r="AY61" s="32"/>
      <c r="AZ61" s="35"/>
      <c r="BB61" s="45">
        <f t="shared" si="41"/>
        <v>3967.73</v>
      </c>
      <c r="BC61" s="45">
        <f t="shared" si="42"/>
        <v>3754.8</v>
      </c>
      <c r="BD61" s="45"/>
      <c r="BE61" s="45">
        <f t="shared" si="23"/>
        <v>212.92999999999984</v>
      </c>
      <c r="BF61" s="39">
        <f t="shared" si="24"/>
        <v>5.3665445985487885E-2</v>
      </c>
    </row>
    <row r="62" spans="1:58" s="20" customFormat="1" ht="12.75" x14ac:dyDescent="0.2">
      <c r="A62" s="21">
        <f>IF(ISBLANK(F62),"",COUNTA($F$6:F62))</f>
        <v>57</v>
      </c>
      <c r="B62" s="37" t="s">
        <v>60</v>
      </c>
      <c r="C62" s="37" t="s">
        <v>61</v>
      </c>
      <c r="D62" s="22"/>
      <c r="E62" s="23" t="s">
        <v>65</v>
      </c>
      <c r="F62" s="36">
        <v>46218</v>
      </c>
      <c r="G62" s="24" t="s">
        <v>59</v>
      </c>
      <c r="H62" s="24">
        <v>58</v>
      </c>
      <c r="I62" s="24">
        <v>2</v>
      </c>
      <c r="J62" s="24" t="s">
        <v>70</v>
      </c>
      <c r="K62" s="25">
        <v>162011643</v>
      </c>
      <c r="L62" s="26">
        <v>46220</v>
      </c>
      <c r="M62" s="38">
        <v>46221</v>
      </c>
      <c r="N62" s="52">
        <v>16397</v>
      </c>
      <c r="O62" s="27"/>
      <c r="P62" s="27"/>
      <c r="Q62" s="27"/>
      <c r="R62" s="46">
        <v>5045.8100000000004</v>
      </c>
      <c r="S62" s="46">
        <v>1174.1100000000006</v>
      </c>
      <c r="T62" s="46">
        <f t="shared" si="0"/>
        <v>3871.7</v>
      </c>
      <c r="U62" s="46">
        <v>3879.4</v>
      </c>
      <c r="V62" s="46"/>
      <c r="W62" s="46"/>
      <c r="X62" s="46">
        <v>3718</v>
      </c>
      <c r="Y62" s="46"/>
      <c r="Z62" s="46">
        <f t="shared" si="39"/>
        <v>153.69999999999982</v>
      </c>
      <c r="AA62" s="39">
        <f t="shared" si="40"/>
        <v>3.9698323733760317E-2</v>
      </c>
      <c r="AB62" s="73">
        <v>3993</v>
      </c>
      <c r="AC62" s="73"/>
      <c r="AD62" s="73"/>
      <c r="AE62" s="39"/>
      <c r="AF62" s="74"/>
      <c r="AG62" s="74"/>
      <c r="AH62" s="75"/>
      <c r="AI62" s="75">
        <f t="shared" si="3"/>
        <v>0</v>
      </c>
      <c r="AJ62" s="32"/>
      <c r="AK62" s="32"/>
      <c r="AL62" s="32"/>
      <c r="AM62" s="33"/>
      <c r="AN62" s="33"/>
      <c r="AO62" s="33"/>
      <c r="AP62" s="34">
        <f t="shared" si="4"/>
        <v>0</v>
      </c>
      <c r="AQ62" s="32">
        <f t="shared" si="5"/>
        <v>0</v>
      </c>
      <c r="AR62" s="32">
        <f t="shared" si="6"/>
        <v>0</v>
      </c>
      <c r="AS62" s="32"/>
      <c r="AT62" s="32"/>
      <c r="AU62" s="32"/>
      <c r="AV62" s="32"/>
      <c r="AW62" s="32"/>
      <c r="AX62" s="32"/>
      <c r="AY62" s="32"/>
      <c r="AZ62" s="35"/>
      <c r="BB62" s="45">
        <f t="shared" si="41"/>
        <v>3993</v>
      </c>
      <c r="BC62" s="45">
        <f t="shared" si="42"/>
        <v>3718</v>
      </c>
      <c r="BD62" s="45"/>
      <c r="BE62" s="45">
        <f t="shared" si="23"/>
        <v>275</v>
      </c>
      <c r="BF62" s="39">
        <f t="shared" si="24"/>
        <v>6.8870523415977963E-2</v>
      </c>
    </row>
    <row r="63" spans="1:58" s="20" customFormat="1" ht="12.75" x14ac:dyDescent="0.2">
      <c r="A63" s="21">
        <f>IF(ISBLANK(F63),"",COUNTA($F$6:F63))</f>
        <v>58</v>
      </c>
      <c r="B63" s="37" t="s">
        <v>60</v>
      </c>
      <c r="C63" s="37" t="s">
        <v>61</v>
      </c>
      <c r="D63" s="22"/>
      <c r="E63" s="23" t="s">
        <v>63</v>
      </c>
      <c r="F63" s="36">
        <v>46218</v>
      </c>
      <c r="G63" s="24" t="s">
        <v>59</v>
      </c>
      <c r="H63" s="24">
        <v>59</v>
      </c>
      <c r="I63" s="24">
        <v>0</v>
      </c>
      <c r="J63" s="24" t="s">
        <v>63</v>
      </c>
      <c r="K63" s="25">
        <v>162006307</v>
      </c>
      <c r="L63" s="26">
        <v>46219</v>
      </c>
      <c r="M63" s="38">
        <v>46220</v>
      </c>
      <c r="N63" s="52">
        <v>16391</v>
      </c>
      <c r="O63" s="27"/>
      <c r="P63" s="27"/>
      <c r="Q63" s="27"/>
      <c r="R63" s="46">
        <v>5307.02</v>
      </c>
      <c r="S63" s="46">
        <v>1224.3200000000006</v>
      </c>
      <c r="T63" s="46">
        <f t="shared" ref="T63:T71" si="43">+R63-S63</f>
        <v>4082.7</v>
      </c>
      <c r="U63" s="46">
        <v>4085.4</v>
      </c>
      <c r="V63" s="46"/>
      <c r="W63" s="46"/>
      <c r="X63" s="46">
        <v>4009.2</v>
      </c>
      <c r="Y63" s="46"/>
      <c r="Z63" s="46">
        <f t="shared" si="39"/>
        <v>73.5</v>
      </c>
      <c r="AA63" s="39">
        <f t="shared" si="40"/>
        <v>1.8002792269821443E-2</v>
      </c>
      <c r="AB63" s="73">
        <v>4082.7</v>
      </c>
      <c r="AC63" s="73"/>
      <c r="AD63" s="73"/>
      <c r="AE63" s="39"/>
      <c r="AF63" s="74"/>
      <c r="AG63" s="74"/>
      <c r="AH63" s="75"/>
      <c r="AI63" s="75">
        <f t="shared" ref="AI63:AI71" si="44">+AG63+AH63</f>
        <v>0</v>
      </c>
      <c r="AJ63" s="32"/>
      <c r="AK63" s="32"/>
      <c r="AL63" s="32"/>
      <c r="AM63" s="33"/>
      <c r="AN63" s="33"/>
      <c r="AO63" s="33"/>
      <c r="AP63" s="34">
        <f t="shared" ref="AP63:AP71" si="45">ROUNDUP((AO63-AM63+(AO63&lt;AM63))*24,0)</f>
        <v>0</v>
      </c>
      <c r="AQ63" s="32">
        <f t="shared" ref="AQ63:AQ71" si="46">IF(AP63&gt;5,(AP63-5),0)</f>
        <v>0</v>
      </c>
      <c r="AR63" s="32">
        <f t="shared" ref="AR63:AR71" si="47">+AQ63*8850</f>
        <v>0</v>
      </c>
      <c r="AS63" s="32"/>
      <c r="AT63" s="32"/>
      <c r="AU63" s="32"/>
      <c r="AV63" s="32"/>
      <c r="AW63" s="32"/>
      <c r="AX63" s="32"/>
      <c r="AY63" s="32"/>
      <c r="AZ63" s="35"/>
      <c r="BB63" s="45">
        <f t="shared" si="41"/>
        <v>4082.7</v>
      </c>
      <c r="BC63" s="45">
        <f t="shared" si="42"/>
        <v>4009.2</v>
      </c>
      <c r="BD63" s="45"/>
      <c r="BE63" s="45">
        <f t="shared" ref="BE63:BE71" si="48">+BB63-BC63</f>
        <v>73.5</v>
      </c>
      <c r="BF63" s="39">
        <f t="shared" ref="BF63:BF71" si="49">+BE63/BB63</f>
        <v>1.8002792269821443E-2</v>
      </c>
    </row>
    <row r="64" spans="1:58" s="20" customFormat="1" ht="12.75" x14ac:dyDescent="0.2">
      <c r="A64" s="21">
        <f>IF(ISBLANK(F64),"",COUNTA($F$6:F64))</f>
        <v>59</v>
      </c>
      <c r="B64" s="37" t="s">
        <v>60</v>
      </c>
      <c r="C64" s="37" t="s">
        <v>61</v>
      </c>
      <c r="D64" s="22"/>
      <c r="E64" s="23" t="s">
        <v>63</v>
      </c>
      <c r="F64" s="36">
        <v>46219</v>
      </c>
      <c r="G64" s="24" t="s">
        <v>59</v>
      </c>
      <c r="H64" s="24">
        <v>58</v>
      </c>
      <c r="I64" s="24">
        <v>4</v>
      </c>
      <c r="J64" s="24" t="s">
        <v>63</v>
      </c>
      <c r="K64" s="25">
        <v>162006308</v>
      </c>
      <c r="L64" s="26">
        <v>46219</v>
      </c>
      <c r="M64" s="38">
        <v>46221</v>
      </c>
      <c r="N64" s="52">
        <v>16395</v>
      </c>
      <c r="O64" s="27"/>
      <c r="P64" s="27"/>
      <c r="Q64" s="27"/>
      <c r="R64" s="46">
        <v>4834.1899999999996</v>
      </c>
      <c r="S64" s="46">
        <v>1146.6899999999996</v>
      </c>
      <c r="T64" s="46">
        <f t="shared" si="43"/>
        <v>3687.5</v>
      </c>
      <c r="U64" s="46">
        <v>3699.6</v>
      </c>
      <c r="V64" s="46"/>
      <c r="W64" s="46"/>
      <c r="X64" s="46">
        <v>3607.4</v>
      </c>
      <c r="Y64" s="46"/>
      <c r="Z64" s="46">
        <f t="shared" si="39"/>
        <v>80.099999999999909</v>
      </c>
      <c r="AA64" s="39">
        <f t="shared" si="40"/>
        <v>2.1722033898305061E-2</v>
      </c>
      <c r="AB64" s="73">
        <v>3687.5</v>
      </c>
      <c r="AC64" s="73"/>
      <c r="AD64" s="73"/>
      <c r="AE64" s="39"/>
      <c r="AF64" s="74"/>
      <c r="AG64" s="74"/>
      <c r="AH64" s="75"/>
      <c r="AI64" s="75">
        <f t="shared" si="44"/>
        <v>0</v>
      </c>
      <c r="AJ64" s="32"/>
      <c r="AK64" s="32"/>
      <c r="AL64" s="32"/>
      <c r="AM64" s="33"/>
      <c r="AN64" s="33"/>
      <c r="AO64" s="33"/>
      <c r="AP64" s="34">
        <f t="shared" si="45"/>
        <v>0</v>
      </c>
      <c r="AQ64" s="32">
        <f t="shared" si="46"/>
        <v>0</v>
      </c>
      <c r="AR64" s="32">
        <f t="shared" si="47"/>
        <v>0</v>
      </c>
      <c r="AS64" s="32"/>
      <c r="AT64" s="32"/>
      <c r="AU64" s="32"/>
      <c r="AV64" s="32"/>
      <c r="AW64" s="32"/>
      <c r="AX64" s="32"/>
      <c r="AY64" s="32"/>
      <c r="AZ64" s="35"/>
      <c r="BB64" s="45">
        <f t="shared" si="41"/>
        <v>3687.5</v>
      </c>
      <c r="BC64" s="45">
        <f t="shared" si="42"/>
        <v>3607.4</v>
      </c>
      <c r="BD64" s="45"/>
      <c r="BE64" s="45">
        <f t="shared" si="48"/>
        <v>80.099999999999909</v>
      </c>
      <c r="BF64" s="39">
        <f t="shared" si="49"/>
        <v>2.1722033898305061E-2</v>
      </c>
    </row>
    <row r="65" spans="1:58" s="20" customFormat="1" ht="12.75" x14ac:dyDescent="0.2">
      <c r="A65" s="21">
        <f>IF(ISBLANK(F65),"",COUNTA($F$6:F65))</f>
        <v>60</v>
      </c>
      <c r="B65" s="37" t="s">
        <v>60</v>
      </c>
      <c r="C65" s="37" t="s">
        <v>61</v>
      </c>
      <c r="D65" s="22"/>
      <c r="E65" s="23" t="s">
        <v>62</v>
      </c>
      <c r="F65" s="36">
        <v>46219</v>
      </c>
      <c r="G65" s="24" t="s">
        <v>59</v>
      </c>
      <c r="H65" s="24">
        <v>58</v>
      </c>
      <c r="I65" s="24">
        <v>0</v>
      </c>
      <c r="J65" s="24" t="s">
        <v>62</v>
      </c>
      <c r="K65" s="25">
        <v>162008471</v>
      </c>
      <c r="L65" s="26">
        <v>46219</v>
      </c>
      <c r="M65" s="38">
        <v>46222</v>
      </c>
      <c r="N65" s="52">
        <v>16400</v>
      </c>
      <c r="O65" s="27"/>
      <c r="P65" s="27"/>
      <c r="Q65" s="27"/>
      <c r="R65" s="46">
        <v>5224.1499999999996</v>
      </c>
      <c r="S65" s="46">
        <v>1212.5499999999997</v>
      </c>
      <c r="T65" s="46">
        <f t="shared" si="43"/>
        <v>4011.6</v>
      </c>
      <c r="U65" s="46">
        <v>4012.4</v>
      </c>
      <c r="V65" s="46"/>
      <c r="W65" s="46"/>
      <c r="X65" s="46">
        <v>4019.2</v>
      </c>
      <c r="Y65" s="46"/>
      <c r="Z65" s="46">
        <f t="shared" si="39"/>
        <v>-7.5999999999999091</v>
      </c>
      <c r="AA65" s="39">
        <f t="shared" si="40"/>
        <v>-1.8945059327948723E-3</v>
      </c>
      <c r="AB65" s="73">
        <v>4011.56</v>
      </c>
      <c r="AC65" s="73"/>
      <c r="AD65" s="73"/>
      <c r="AE65" s="39"/>
      <c r="AF65" s="74"/>
      <c r="AG65" s="74"/>
      <c r="AH65" s="75"/>
      <c r="AI65" s="75">
        <f t="shared" si="44"/>
        <v>0</v>
      </c>
      <c r="AJ65" s="32"/>
      <c r="AK65" s="32"/>
      <c r="AL65" s="32"/>
      <c r="AM65" s="33"/>
      <c r="AN65" s="33"/>
      <c r="AO65" s="33"/>
      <c r="AP65" s="34">
        <f t="shared" si="45"/>
        <v>0</v>
      </c>
      <c r="AQ65" s="32">
        <f t="shared" si="46"/>
        <v>0</v>
      </c>
      <c r="AR65" s="32">
        <f t="shared" si="47"/>
        <v>0</v>
      </c>
      <c r="AS65" s="32"/>
      <c r="AT65" s="32"/>
      <c r="AU65" s="32"/>
      <c r="AV65" s="32"/>
      <c r="AW65" s="32"/>
      <c r="AX65" s="32"/>
      <c r="AY65" s="32"/>
      <c r="AZ65" s="35"/>
      <c r="BB65" s="45">
        <f t="shared" si="41"/>
        <v>4011.56</v>
      </c>
      <c r="BC65" s="45">
        <f t="shared" si="42"/>
        <v>4019.2</v>
      </c>
      <c r="BD65" s="45"/>
      <c r="BE65" s="45">
        <f t="shared" si="48"/>
        <v>-7.6399999999998727</v>
      </c>
      <c r="BF65" s="39">
        <f t="shared" si="49"/>
        <v>-1.9044960065410644E-3</v>
      </c>
    </row>
    <row r="66" spans="1:58" s="20" customFormat="1" ht="12.75" x14ac:dyDescent="0.2">
      <c r="A66" s="21">
        <f>IF(ISBLANK(F66),"",COUNTA($F$6:F66))</f>
        <v>61</v>
      </c>
      <c r="B66" s="37" t="s">
        <v>60</v>
      </c>
      <c r="C66" s="37" t="s">
        <v>61</v>
      </c>
      <c r="D66" s="22"/>
      <c r="E66" s="23" t="s">
        <v>65</v>
      </c>
      <c r="F66" s="36">
        <v>46219</v>
      </c>
      <c r="G66" s="24" t="s">
        <v>59</v>
      </c>
      <c r="H66" s="24">
        <v>58</v>
      </c>
      <c r="I66" s="24">
        <v>0</v>
      </c>
      <c r="J66" s="24" t="s">
        <v>70</v>
      </c>
      <c r="K66" s="25">
        <v>162011647</v>
      </c>
      <c r="L66" s="26">
        <v>46221</v>
      </c>
      <c r="M66" s="38">
        <v>46222</v>
      </c>
      <c r="N66" s="52">
        <v>16401</v>
      </c>
      <c r="O66" s="27"/>
      <c r="P66" s="27"/>
      <c r="Q66" s="27"/>
      <c r="R66" s="46">
        <v>5222.5200000000004</v>
      </c>
      <c r="S66" s="46">
        <v>1218.4200000000005</v>
      </c>
      <c r="T66" s="46">
        <f t="shared" si="43"/>
        <v>4004.1</v>
      </c>
      <c r="U66" s="46">
        <v>4022</v>
      </c>
      <c r="V66" s="46"/>
      <c r="W66" s="46"/>
      <c r="X66" s="46">
        <v>3849.6</v>
      </c>
      <c r="Y66" s="46"/>
      <c r="Z66" s="46">
        <f t="shared" si="39"/>
        <v>154.5</v>
      </c>
      <c r="AA66" s="39">
        <f t="shared" si="40"/>
        <v>3.8585449913838318E-2</v>
      </c>
      <c r="AB66" s="73">
        <v>4016.5</v>
      </c>
      <c r="AC66" s="73"/>
      <c r="AD66" s="73"/>
      <c r="AE66" s="39"/>
      <c r="AF66" s="74"/>
      <c r="AG66" s="74"/>
      <c r="AH66" s="75"/>
      <c r="AI66" s="75">
        <f t="shared" si="44"/>
        <v>0</v>
      </c>
      <c r="AJ66" s="32"/>
      <c r="AK66" s="32"/>
      <c r="AL66" s="32"/>
      <c r="AM66" s="33"/>
      <c r="AN66" s="33"/>
      <c r="AO66" s="33"/>
      <c r="AP66" s="34">
        <f t="shared" si="45"/>
        <v>0</v>
      </c>
      <c r="AQ66" s="32">
        <f t="shared" si="46"/>
        <v>0</v>
      </c>
      <c r="AR66" s="32">
        <f t="shared" si="47"/>
        <v>0</v>
      </c>
      <c r="AS66" s="32"/>
      <c r="AT66" s="32"/>
      <c r="AU66" s="32"/>
      <c r="AV66" s="32"/>
      <c r="AW66" s="32"/>
      <c r="AX66" s="32"/>
      <c r="AY66" s="32"/>
      <c r="AZ66" s="35"/>
      <c r="BB66" s="45">
        <f t="shared" si="41"/>
        <v>4016.5</v>
      </c>
      <c r="BC66" s="45">
        <f t="shared" si="42"/>
        <v>3849.6</v>
      </c>
      <c r="BD66" s="45"/>
      <c r="BE66" s="45">
        <f t="shared" si="48"/>
        <v>166.90000000000009</v>
      </c>
      <c r="BF66" s="39">
        <f t="shared" si="49"/>
        <v>4.1553591435329287E-2</v>
      </c>
    </row>
    <row r="67" spans="1:58" s="20" customFormat="1" ht="12.75" x14ac:dyDescent="0.2">
      <c r="A67" s="21">
        <f>IF(ISBLANK(F67),"",COUNTA($F$6:F67))</f>
        <v>62</v>
      </c>
      <c r="B67" s="37" t="s">
        <v>60</v>
      </c>
      <c r="C67" s="37" t="s">
        <v>61</v>
      </c>
      <c r="D67" s="22"/>
      <c r="E67" s="23" t="s">
        <v>64</v>
      </c>
      <c r="F67" s="36">
        <v>46219</v>
      </c>
      <c r="G67" s="24" t="s">
        <v>59</v>
      </c>
      <c r="H67" s="24">
        <v>57</v>
      </c>
      <c r="I67" s="24">
        <v>0</v>
      </c>
      <c r="J67" s="24" t="s">
        <v>64</v>
      </c>
      <c r="K67" s="25">
        <v>162004331</v>
      </c>
      <c r="L67" s="26">
        <v>46220</v>
      </c>
      <c r="M67" s="38">
        <v>46221</v>
      </c>
      <c r="N67" s="52">
        <v>16396</v>
      </c>
      <c r="O67" s="27"/>
      <c r="P67" s="27"/>
      <c r="Q67" s="27"/>
      <c r="R67" s="46">
        <v>5105.16</v>
      </c>
      <c r="S67" s="46">
        <v>1185.56</v>
      </c>
      <c r="T67" s="46">
        <f t="shared" si="43"/>
        <v>3919.6</v>
      </c>
      <c r="U67" s="46">
        <v>3927.4</v>
      </c>
      <c r="V67" s="46"/>
      <c r="W67" s="46"/>
      <c r="X67" s="46">
        <v>3854</v>
      </c>
      <c r="Y67" s="46"/>
      <c r="Z67" s="46">
        <f t="shared" si="39"/>
        <v>65.599999999999909</v>
      </c>
      <c r="AA67" s="39">
        <f t="shared" si="40"/>
        <v>1.6736401673640145E-2</v>
      </c>
      <c r="AB67" s="73">
        <v>3919.6</v>
      </c>
      <c r="AC67" s="73"/>
      <c r="AD67" s="73"/>
      <c r="AE67" s="39"/>
      <c r="AF67" s="74"/>
      <c r="AG67" s="74"/>
      <c r="AH67" s="75"/>
      <c r="AI67" s="75">
        <f t="shared" si="44"/>
        <v>0</v>
      </c>
      <c r="AJ67" s="32"/>
      <c r="AK67" s="32"/>
      <c r="AL67" s="32"/>
      <c r="AM67" s="33"/>
      <c r="AN67" s="33"/>
      <c r="AO67" s="33"/>
      <c r="AP67" s="34">
        <f t="shared" si="45"/>
        <v>0</v>
      </c>
      <c r="AQ67" s="32">
        <f t="shared" si="46"/>
        <v>0</v>
      </c>
      <c r="AR67" s="32">
        <f t="shared" si="47"/>
        <v>0</v>
      </c>
      <c r="AS67" s="32"/>
      <c r="AT67" s="32"/>
      <c r="AU67" s="32"/>
      <c r="AV67" s="32"/>
      <c r="AW67" s="32"/>
      <c r="AX67" s="32"/>
      <c r="AY67" s="32"/>
      <c r="AZ67" s="35"/>
      <c r="BB67" s="45">
        <f t="shared" si="41"/>
        <v>3919.6</v>
      </c>
      <c r="BC67" s="45">
        <f t="shared" si="42"/>
        <v>3854</v>
      </c>
      <c r="BD67" s="45"/>
      <c r="BE67" s="45">
        <f t="shared" si="48"/>
        <v>65.599999999999909</v>
      </c>
      <c r="BF67" s="39">
        <f t="shared" si="49"/>
        <v>1.6736401673640145E-2</v>
      </c>
    </row>
    <row r="68" spans="1:58" s="20" customFormat="1" ht="12.75" x14ac:dyDescent="0.2">
      <c r="A68" s="21">
        <f>IF(ISBLANK(F68),"",COUNTA($F$6:F68))</f>
        <v>63</v>
      </c>
      <c r="B68" s="37" t="s">
        <v>60</v>
      </c>
      <c r="C68" s="37" t="s">
        <v>61</v>
      </c>
      <c r="D68" s="22"/>
      <c r="E68" s="23" t="s">
        <v>63</v>
      </c>
      <c r="F68" s="36">
        <v>46220</v>
      </c>
      <c r="G68" s="24" t="s">
        <v>59</v>
      </c>
      <c r="H68" s="24">
        <v>58</v>
      </c>
      <c r="I68" s="24">
        <v>2</v>
      </c>
      <c r="J68" s="24" t="s">
        <v>63</v>
      </c>
      <c r="K68" s="25">
        <v>162006311</v>
      </c>
      <c r="L68" s="26">
        <v>46220</v>
      </c>
      <c r="M68" s="38">
        <v>46222</v>
      </c>
      <c r="N68" s="52">
        <v>16399</v>
      </c>
      <c r="O68" s="27"/>
      <c r="P68" s="27"/>
      <c r="Q68" s="27"/>
      <c r="R68" s="46">
        <v>5022.6000000000004</v>
      </c>
      <c r="S68" s="46">
        <v>1173.5000000000005</v>
      </c>
      <c r="T68" s="46">
        <f t="shared" si="43"/>
        <v>3849.1</v>
      </c>
      <c r="U68" s="46">
        <v>3857</v>
      </c>
      <c r="V68" s="46"/>
      <c r="W68" s="46"/>
      <c r="X68" s="46">
        <v>3806.6</v>
      </c>
      <c r="Y68" s="46"/>
      <c r="Z68" s="46">
        <f t="shared" si="39"/>
        <v>42.5</v>
      </c>
      <c r="AA68" s="39">
        <f t="shared" si="40"/>
        <v>1.1041542178691122E-2</v>
      </c>
      <c r="AB68" s="73">
        <v>3849.1</v>
      </c>
      <c r="AC68" s="73"/>
      <c r="AD68" s="73"/>
      <c r="AE68" s="39"/>
      <c r="AF68" s="74"/>
      <c r="AG68" s="74"/>
      <c r="AH68" s="75"/>
      <c r="AI68" s="75">
        <f t="shared" si="44"/>
        <v>0</v>
      </c>
      <c r="AJ68" s="32"/>
      <c r="AK68" s="32"/>
      <c r="AL68" s="32"/>
      <c r="AM68" s="33"/>
      <c r="AN68" s="33"/>
      <c r="AO68" s="33"/>
      <c r="AP68" s="34">
        <f t="shared" si="45"/>
        <v>0</v>
      </c>
      <c r="AQ68" s="32">
        <f t="shared" si="46"/>
        <v>0</v>
      </c>
      <c r="AR68" s="32">
        <f t="shared" si="47"/>
        <v>0</v>
      </c>
      <c r="AS68" s="32"/>
      <c r="AT68" s="32"/>
      <c r="AU68" s="32"/>
      <c r="AV68" s="32"/>
      <c r="AW68" s="32"/>
      <c r="AX68" s="32"/>
      <c r="AY68" s="32"/>
      <c r="AZ68" s="35"/>
      <c r="BB68" s="45">
        <f t="shared" si="41"/>
        <v>3849.1</v>
      </c>
      <c r="BC68" s="45">
        <f t="shared" si="42"/>
        <v>3806.6</v>
      </c>
      <c r="BD68" s="45"/>
      <c r="BE68" s="45">
        <f t="shared" si="48"/>
        <v>42.5</v>
      </c>
      <c r="BF68" s="39">
        <f t="shared" si="49"/>
        <v>1.1041542178691122E-2</v>
      </c>
    </row>
    <row r="69" spans="1:58" s="20" customFormat="1" ht="12.75" x14ac:dyDescent="0.2">
      <c r="A69" s="21">
        <f>IF(ISBLANK(F69),"",COUNTA($F$6:F69))</f>
        <v>64</v>
      </c>
      <c r="B69" s="37" t="s">
        <v>60</v>
      </c>
      <c r="C69" s="37" t="s">
        <v>61</v>
      </c>
      <c r="D69" s="22"/>
      <c r="E69" s="23" t="s">
        <v>65</v>
      </c>
      <c r="F69" s="36">
        <v>46220</v>
      </c>
      <c r="G69" s="24" t="s">
        <v>59</v>
      </c>
      <c r="H69" s="24">
        <v>58</v>
      </c>
      <c r="I69" s="24">
        <v>1</v>
      </c>
      <c r="J69" s="24" t="s">
        <v>67</v>
      </c>
      <c r="K69" s="25">
        <v>162011644</v>
      </c>
      <c r="L69" s="26">
        <v>46220</v>
      </c>
      <c r="M69" s="38">
        <v>46223</v>
      </c>
      <c r="N69" s="52">
        <v>16404</v>
      </c>
      <c r="O69" s="27"/>
      <c r="P69" s="27"/>
      <c r="Q69" s="27"/>
      <c r="R69" s="46">
        <v>5135.76</v>
      </c>
      <c r="S69" s="46">
        <v>1187.3600000000001</v>
      </c>
      <c r="T69" s="46">
        <f t="shared" si="43"/>
        <v>3948.4</v>
      </c>
      <c r="U69" s="46">
        <v>3959.6</v>
      </c>
      <c r="V69" s="46"/>
      <c r="W69" s="46"/>
      <c r="X69" s="46">
        <v>3822.6</v>
      </c>
      <c r="Y69" s="46"/>
      <c r="Z69" s="46">
        <f t="shared" si="39"/>
        <v>125.80000000000018</v>
      </c>
      <c r="AA69" s="39">
        <f t="shared" si="40"/>
        <v>3.1861006990173281E-2</v>
      </c>
      <c r="AB69" s="73">
        <v>3975.61</v>
      </c>
      <c r="AC69" s="73"/>
      <c r="AD69" s="73"/>
      <c r="AE69" s="39"/>
      <c r="AF69" s="74"/>
      <c r="AG69" s="74"/>
      <c r="AH69" s="75"/>
      <c r="AI69" s="75">
        <f t="shared" si="44"/>
        <v>0</v>
      </c>
      <c r="AJ69" s="32"/>
      <c r="AK69" s="32"/>
      <c r="AL69" s="32"/>
      <c r="AM69" s="33"/>
      <c r="AN69" s="33"/>
      <c r="AO69" s="33"/>
      <c r="AP69" s="34">
        <f t="shared" si="45"/>
        <v>0</v>
      </c>
      <c r="AQ69" s="32">
        <f t="shared" si="46"/>
        <v>0</v>
      </c>
      <c r="AR69" s="32">
        <f t="shared" si="47"/>
        <v>0</v>
      </c>
      <c r="AS69" s="32"/>
      <c r="AT69" s="32"/>
      <c r="AU69" s="32"/>
      <c r="AV69" s="32"/>
      <c r="AW69" s="32"/>
      <c r="AX69" s="32"/>
      <c r="AY69" s="32"/>
      <c r="AZ69" s="35"/>
      <c r="BB69" s="45">
        <f t="shared" si="41"/>
        <v>3975.61</v>
      </c>
      <c r="BC69" s="45">
        <f t="shared" si="42"/>
        <v>3822.6</v>
      </c>
      <c r="BD69" s="45"/>
      <c r="BE69" s="45">
        <f t="shared" si="48"/>
        <v>153.01000000000022</v>
      </c>
      <c r="BF69" s="39">
        <f t="shared" si="49"/>
        <v>3.8487175552934072E-2</v>
      </c>
    </row>
    <row r="70" spans="1:58" s="20" customFormat="1" ht="12.75" x14ac:dyDescent="0.2">
      <c r="A70" s="21">
        <f>IF(ISBLANK(F70),"",COUNTA($F$6:F70))</f>
        <v>65</v>
      </c>
      <c r="B70" s="37" t="s">
        <v>60</v>
      </c>
      <c r="C70" s="37" t="s">
        <v>61</v>
      </c>
      <c r="D70" s="22"/>
      <c r="E70" s="23" t="s">
        <v>64</v>
      </c>
      <c r="F70" s="36">
        <v>46220</v>
      </c>
      <c r="G70" s="24" t="s">
        <v>59</v>
      </c>
      <c r="H70" s="24">
        <v>59</v>
      </c>
      <c r="I70" s="24">
        <v>1</v>
      </c>
      <c r="J70" s="24" t="s">
        <v>64</v>
      </c>
      <c r="K70" s="25">
        <v>162004332</v>
      </c>
      <c r="L70" s="26">
        <v>46220</v>
      </c>
      <c r="M70" s="38">
        <v>46223</v>
      </c>
      <c r="N70" s="52">
        <v>16408</v>
      </c>
      <c r="O70" s="27"/>
      <c r="P70" s="27"/>
      <c r="Q70" s="27"/>
      <c r="R70" s="46">
        <v>5196.3999999999996</v>
      </c>
      <c r="S70" s="46">
        <v>1202.7999999999997</v>
      </c>
      <c r="T70" s="46">
        <f t="shared" si="43"/>
        <v>3993.6</v>
      </c>
      <c r="U70" s="46">
        <v>4000.6</v>
      </c>
      <c r="V70" s="46"/>
      <c r="W70" s="46"/>
      <c r="X70" s="46">
        <v>4037.8</v>
      </c>
      <c r="Y70" s="46"/>
      <c r="Z70" s="46">
        <f t="shared" ref="Z70:Z101" si="50">+T70-X70</f>
        <v>-44.200000000000273</v>
      </c>
      <c r="AA70" s="39">
        <f t="shared" ref="AA70:AA101" si="51">Z70/T70</f>
        <v>-1.1067708333333402E-2</v>
      </c>
      <c r="AB70" s="73">
        <v>3993.6</v>
      </c>
      <c r="AC70" s="73"/>
      <c r="AD70" s="73"/>
      <c r="AE70" s="39"/>
      <c r="AF70" s="74"/>
      <c r="AG70" s="74"/>
      <c r="AH70" s="75"/>
      <c r="AI70" s="75">
        <f t="shared" si="44"/>
        <v>0</v>
      </c>
      <c r="AJ70" s="32"/>
      <c r="AK70" s="32"/>
      <c r="AL70" s="32"/>
      <c r="AM70" s="33"/>
      <c r="AN70" s="33"/>
      <c r="AO70" s="33"/>
      <c r="AP70" s="34">
        <f t="shared" si="45"/>
        <v>0</v>
      </c>
      <c r="AQ70" s="32">
        <f t="shared" si="46"/>
        <v>0</v>
      </c>
      <c r="AR70" s="32">
        <f t="shared" si="47"/>
        <v>0</v>
      </c>
      <c r="AS70" s="32"/>
      <c r="AT70" s="32"/>
      <c r="AU70" s="32"/>
      <c r="AV70" s="32"/>
      <c r="AW70" s="32"/>
      <c r="AX70" s="32"/>
      <c r="AY70" s="32"/>
      <c r="AZ70" s="35"/>
      <c r="BB70" s="45">
        <f t="shared" ref="BB70:BB101" si="52">IF(AND(AB70="",AC70=""),T70,IF(AC70="",AB70,AC70))</f>
        <v>3993.6</v>
      </c>
      <c r="BC70" s="45">
        <f t="shared" ref="BC70:BC101" si="53">+X70</f>
        <v>4037.8</v>
      </c>
      <c r="BD70" s="45"/>
      <c r="BE70" s="45">
        <f t="shared" si="48"/>
        <v>-44.200000000000273</v>
      </c>
      <c r="BF70" s="39">
        <f t="shared" si="49"/>
        <v>-1.1067708333333402E-2</v>
      </c>
    </row>
    <row r="71" spans="1:58" s="20" customFormat="1" ht="12.75" x14ac:dyDescent="0.2">
      <c r="A71" s="21">
        <f>IF(ISBLANK(F71),"",COUNTA($F$6:F71))</f>
        <v>66</v>
      </c>
      <c r="B71" s="37" t="s">
        <v>60</v>
      </c>
      <c r="C71" s="37" t="s">
        <v>61</v>
      </c>
      <c r="D71" s="22"/>
      <c r="E71" s="23" t="s">
        <v>65</v>
      </c>
      <c r="F71" s="36">
        <v>46220</v>
      </c>
      <c r="G71" s="24" t="s">
        <v>59</v>
      </c>
      <c r="H71" s="24">
        <v>59</v>
      </c>
      <c r="I71" s="24">
        <v>1</v>
      </c>
      <c r="J71" s="24" t="s">
        <v>67</v>
      </c>
      <c r="K71" s="25">
        <v>162011646</v>
      </c>
      <c r="L71" s="26">
        <v>46221</v>
      </c>
      <c r="M71" s="38">
        <v>46223</v>
      </c>
      <c r="N71" s="52">
        <v>16406</v>
      </c>
      <c r="O71" s="27"/>
      <c r="P71" s="27"/>
      <c r="Q71" s="27"/>
      <c r="R71" s="46">
        <v>5231.3900000000003</v>
      </c>
      <c r="S71" s="46">
        <v>1215.7900000000004</v>
      </c>
      <c r="T71" s="46">
        <f t="shared" si="43"/>
        <v>4015.6</v>
      </c>
      <c r="U71" s="46">
        <v>4023.4</v>
      </c>
      <c r="V71" s="46"/>
      <c r="W71" s="46"/>
      <c r="X71" s="46">
        <v>3862.6</v>
      </c>
      <c r="Y71" s="46"/>
      <c r="Z71" s="46">
        <f t="shared" si="50"/>
        <v>153</v>
      </c>
      <c r="AA71" s="39">
        <f t="shared" si="51"/>
        <v>3.8101404522362783E-2</v>
      </c>
      <c r="AB71" s="73">
        <v>4119.1499999999996</v>
      </c>
      <c r="AC71" s="73"/>
      <c r="AD71" s="73"/>
      <c r="AE71" s="39"/>
      <c r="AF71" s="74"/>
      <c r="AG71" s="74"/>
      <c r="AH71" s="75"/>
      <c r="AI71" s="75">
        <f t="shared" si="44"/>
        <v>0</v>
      </c>
      <c r="AJ71" s="32"/>
      <c r="AK71" s="32"/>
      <c r="AL71" s="32"/>
      <c r="AM71" s="33"/>
      <c r="AN71" s="33"/>
      <c r="AO71" s="33"/>
      <c r="AP71" s="34">
        <f t="shared" si="45"/>
        <v>0</v>
      </c>
      <c r="AQ71" s="32">
        <f t="shared" si="46"/>
        <v>0</v>
      </c>
      <c r="AR71" s="32">
        <f t="shared" si="47"/>
        <v>0</v>
      </c>
      <c r="AS71" s="32"/>
      <c r="AT71" s="32"/>
      <c r="AU71" s="32"/>
      <c r="AV71" s="32"/>
      <c r="AW71" s="32"/>
      <c r="AX71" s="32"/>
      <c r="AY71" s="32"/>
      <c r="AZ71" s="35"/>
      <c r="BB71" s="45">
        <f t="shared" si="52"/>
        <v>4119.1499999999996</v>
      </c>
      <c r="BC71" s="45">
        <f t="shared" si="53"/>
        <v>3862.6</v>
      </c>
      <c r="BD71" s="45"/>
      <c r="BE71" s="45">
        <f t="shared" si="48"/>
        <v>256.54999999999973</v>
      </c>
      <c r="BF71" s="39">
        <f t="shared" si="49"/>
        <v>6.2282266972554956E-2</v>
      </c>
    </row>
    <row r="72" spans="1:58" s="20" customFormat="1" ht="12.75" x14ac:dyDescent="0.2">
      <c r="A72" s="21">
        <f>IF(ISBLANK(F72),"",COUNTA($F$6:F72))</f>
        <v>67</v>
      </c>
      <c r="B72" s="37" t="s">
        <v>60</v>
      </c>
      <c r="C72" s="37" t="s">
        <v>61</v>
      </c>
      <c r="D72" s="22"/>
      <c r="E72" s="23" t="s">
        <v>63</v>
      </c>
      <c r="F72" s="36">
        <v>46221</v>
      </c>
      <c r="G72" s="24" t="s">
        <v>59</v>
      </c>
      <c r="H72" s="24">
        <v>59</v>
      </c>
      <c r="I72" s="24">
        <v>0</v>
      </c>
      <c r="J72" s="24" t="s">
        <v>63</v>
      </c>
      <c r="K72" s="25">
        <v>162006316</v>
      </c>
      <c r="L72" s="26">
        <v>46221</v>
      </c>
      <c r="M72" s="38">
        <v>46222</v>
      </c>
      <c r="N72" s="52">
        <v>16402</v>
      </c>
      <c r="O72" s="27"/>
      <c r="P72" s="27"/>
      <c r="Q72" s="27"/>
      <c r="R72" s="46">
        <v>5304.73</v>
      </c>
      <c r="S72" s="46">
        <v>1224.7299999999996</v>
      </c>
      <c r="T72" s="46">
        <f t="shared" si="0"/>
        <v>4080</v>
      </c>
      <c r="U72" s="46">
        <v>4079.2</v>
      </c>
      <c r="V72" s="46"/>
      <c r="W72" s="46"/>
      <c r="X72" s="46">
        <v>3995.6</v>
      </c>
      <c r="Y72" s="46"/>
      <c r="Z72" s="46">
        <f t="shared" si="50"/>
        <v>84.400000000000091</v>
      </c>
      <c r="AA72" s="39">
        <f t="shared" si="51"/>
        <v>2.0686274509803943E-2</v>
      </c>
      <c r="AB72" s="73">
        <v>4080</v>
      </c>
      <c r="AC72" s="73"/>
      <c r="AD72" s="73"/>
      <c r="AE72" s="39"/>
      <c r="AF72" s="74"/>
      <c r="AG72" s="74"/>
      <c r="AH72" s="75"/>
      <c r="AI72" s="75">
        <f t="shared" si="3"/>
        <v>0</v>
      </c>
      <c r="AJ72" s="32"/>
      <c r="AK72" s="32"/>
      <c r="AL72" s="32"/>
      <c r="AM72" s="33"/>
      <c r="AN72" s="33"/>
      <c r="AO72" s="33"/>
      <c r="AP72" s="34">
        <f t="shared" si="4"/>
        <v>0</v>
      </c>
      <c r="AQ72" s="32">
        <f t="shared" si="5"/>
        <v>0</v>
      </c>
      <c r="AR72" s="32">
        <f t="shared" si="6"/>
        <v>0</v>
      </c>
      <c r="AS72" s="32"/>
      <c r="AT72" s="32"/>
      <c r="AU72" s="32"/>
      <c r="AV72" s="32"/>
      <c r="AW72" s="32"/>
      <c r="AX72" s="32"/>
      <c r="AY72" s="32"/>
      <c r="AZ72" s="35"/>
      <c r="BB72" s="45">
        <f t="shared" si="52"/>
        <v>4080</v>
      </c>
      <c r="BC72" s="45">
        <f t="shared" si="53"/>
        <v>3995.6</v>
      </c>
      <c r="BD72" s="45"/>
      <c r="BE72" s="45">
        <f t="shared" si="23"/>
        <v>84.400000000000091</v>
      </c>
      <c r="BF72" s="39">
        <f t="shared" si="24"/>
        <v>2.0686274509803943E-2</v>
      </c>
    </row>
    <row r="73" spans="1:58" s="20" customFormat="1" ht="12.75" x14ac:dyDescent="0.2">
      <c r="A73" s="21">
        <f>IF(ISBLANK(F73),"",COUNTA($F$6:F73))</f>
        <v>68</v>
      </c>
      <c r="B73" s="37" t="s">
        <v>60</v>
      </c>
      <c r="C73" s="37" t="s">
        <v>61</v>
      </c>
      <c r="D73" s="22"/>
      <c r="E73" s="23" t="s">
        <v>64</v>
      </c>
      <c r="F73" s="36">
        <v>46221</v>
      </c>
      <c r="G73" s="24" t="s">
        <v>59</v>
      </c>
      <c r="H73" s="24">
        <v>58</v>
      </c>
      <c r="I73" s="24">
        <v>1</v>
      </c>
      <c r="J73" s="24" t="s">
        <v>64</v>
      </c>
      <c r="K73" s="25">
        <v>162004334</v>
      </c>
      <c r="L73" s="26">
        <v>46221</v>
      </c>
      <c r="M73" s="38">
        <v>46222</v>
      </c>
      <c r="N73" s="52">
        <v>16403</v>
      </c>
      <c r="O73" s="27"/>
      <c r="P73" s="27"/>
      <c r="Q73" s="27"/>
      <c r="R73" s="46">
        <v>5082.3</v>
      </c>
      <c r="S73" s="46">
        <v>1207.3000000000002</v>
      </c>
      <c r="T73" s="46">
        <f t="shared" si="0"/>
        <v>3875</v>
      </c>
      <c r="U73" s="46">
        <v>3902.4</v>
      </c>
      <c r="V73" s="46"/>
      <c r="W73" s="46"/>
      <c r="X73" s="46">
        <v>3796.6</v>
      </c>
      <c r="Y73" s="46"/>
      <c r="Z73" s="46">
        <f t="shared" si="50"/>
        <v>78.400000000000091</v>
      </c>
      <c r="AA73" s="39">
        <f t="shared" si="51"/>
        <v>2.0232258064516152E-2</v>
      </c>
      <c r="AB73" s="73">
        <v>3875</v>
      </c>
      <c r="AC73" s="73"/>
      <c r="AD73" s="73"/>
      <c r="AE73" s="39"/>
      <c r="AF73" s="74"/>
      <c r="AG73" s="74"/>
      <c r="AH73" s="75"/>
      <c r="AI73" s="75">
        <f t="shared" si="3"/>
        <v>0</v>
      </c>
      <c r="AJ73" s="32"/>
      <c r="AK73" s="32"/>
      <c r="AL73" s="32"/>
      <c r="AM73" s="33"/>
      <c r="AN73" s="33"/>
      <c r="AO73" s="33"/>
      <c r="AP73" s="34">
        <f t="shared" si="4"/>
        <v>0</v>
      </c>
      <c r="AQ73" s="32">
        <f t="shared" si="5"/>
        <v>0</v>
      </c>
      <c r="AR73" s="32">
        <f t="shared" si="6"/>
        <v>0</v>
      </c>
      <c r="AS73" s="32"/>
      <c r="AT73" s="32"/>
      <c r="AU73" s="32"/>
      <c r="AV73" s="32"/>
      <c r="AW73" s="32"/>
      <c r="AX73" s="32"/>
      <c r="AY73" s="32"/>
      <c r="AZ73" s="35"/>
      <c r="BB73" s="45">
        <f t="shared" si="52"/>
        <v>3875</v>
      </c>
      <c r="BC73" s="45">
        <f t="shared" si="53"/>
        <v>3796.6</v>
      </c>
      <c r="BD73" s="45"/>
      <c r="BE73" s="45">
        <f t="shared" si="23"/>
        <v>78.400000000000091</v>
      </c>
      <c r="BF73" s="39">
        <f t="shared" si="24"/>
        <v>2.0232258064516152E-2</v>
      </c>
    </row>
    <row r="74" spans="1:58" s="20" customFormat="1" ht="12.75" x14ac:dyDescent="0.2">
      <c r="A74" s="21">
        <f>IF(ISBLANK(F74),"",COUNTA($F$6:F74))</f>
        <v>69</v>
      </c>
      <c r="B74" s="37" t="s">
        <v>60</v>
      </c>
      <c r="C74" s="37" t="s">
        <v>61</v>
      </c>
      <c r="D74" s="22"/>
      <c r="E74" s="23" t="s">
        <v>65</v>
      </c>
      <c r="F74" s="36">
        <v>46221</v>
      </c>
      <c r="G74" s="24" t="s">
        <v>59</v>
      </c>
      <c r="H74" s="24">
        <v>59</v>
      </c>
      <c r="I74" s="24">
        <v>1</v>
      </c>
      <c r="J74" s="24" t="s">
        <v>67</v>
      </c>
      <c r="K74" s="25">
        <v>162011650</v>
      </c>
      <c r="L74" s="26">
        <v>46222</v>
      </c>
      <c r="M74" s="38">
        <v>46223</v>
      </c>
      <c r="N74" s="52">
        <v>16410</v>
      </c>
      <c r="O74" s="27"/>
      <c r="P74" s="27"/>
      <c r="Q74" s="27"/>
      <c r="R74" s="46">
        <v>5119.3999999999996</v>
      </c>
      <c r="S74" s="46">
        <v>1228.9999999999995</v>
      </c>
      <c r="T74" s="46">
        <f t="shared" si="0"/>
        <v>3890.4</v>
      </c>
      <c r="U74" s="46">
        <v>3991.6</v>
      </c>
      <c r="V74" s="46"/>
      <c r="W74" s="46"/>
      <c r="X74" s="46">
        <v>3735.4</v>
      </c>
      <c r="Y74" s="46"/>
      <c r="Z74" s="46">
        <f t="shared" si="50"/>
        <v>155</v>
      </c>
      <c r="AA74" s="39">
        <f t="shared" si="51"/>
        <v>3.9841661525807114E-2</v>
      </c>
      <c r="AB74" s="73">
        <v>3898.26</v>
      </c>
      <c r="AC74" s="73"/>
      <c r="AD74" s="73"/>
      <c r="AE74" s="39"/>
      <c r="AF74" s="74"/>
      <c r="AG74" s="74"/>
      <c r="AH74" s="75"/>
      <c r="AI74" s="75">
        <f t="shared" si="3"/>
        <v>0</v>
      </c>
      <c r="AJ74" s="32"/>
      <c r="AK74" s="32"/>
      <c r="AL74" s="32"/>
      <c r="AM74" s="33"/>
      <c r="AN74" s="33"/>
      <c r="AO74" s="33"/>
      <c r="AP74" s="34">
        <f t="shared" si="4"/>
        <v>0</v>
      </c>
      <c r="AQ74" s="32">
        <f t="shared" si="5"/>
        <v>0</v>
      </c>
      <c r="AR74" s="32">
        <f t="shared" si="6"/>
        <v>0</v>
      </c>
      <c r="AS74" s="32"/>
      <c r="AT74" s="32"/>
      <c r="AU74" s="32"/>
      <c r="AV74" s="32"/>
      <c r="AW74" s="32"/>
      <c r="AX74" s="32"/>
      <c r="AY74" s="32"/>
      <c r="AZ74" s="35"/>
      <c r="BB74" s="45">
        <f t="shared" si="52"/>
        <v>3898.26</v>
      </c>
      <c r="BC74" s="45">
        <f t="shared" si="53"/>
        <v>3735.4</v>
      </c>
      <c r="BD74" s="45"/>
      <c r="BE74" s="45">
        <f t="shared" si="23"/>
        <v>162.86000000000013</v>
      </c>
      <c r="BF74" s="39">
        <f t="shared" si="24"/>
        <v>4.1777613601966038E-2</v>
      </c>
    </row>
    <row r="75" spans="1:58" s="20" customFormat="1" ht="12.75" x14ac:dyDescent="0.2">
      <c r="A75" s="21">
        <f>IF(ISBLANK(F75),"",COUNTA($F$6:F75))</f>
        <v>70</v>
      </c>
      <c r="B75" s="37" t="s">
        <v>60</v>
      </c>
      <c r="C75" s="37" t="s">
        <v>61</v>
      </c>
      <c r="D75" s="22"/>
      <c r="E75" s="23" t="s">
        <v>65</v>
      </c>
      <c r="F75" s="36">
        <v>46222</v>
      </c>
      <c r="G75" s="24" t="s">
        <v>59</v>
      </c>
      <c r="H75" s="24">
        <v>58</v>
      </c>
      <c r="I75" s="24">
        <v>7</v>
      </c>
      <c r="J75" s="24" t="s">
        <v>67</v>
      </c>
      <c r="K75" s="25">
        <v>162011652</v>
      </c>
      <c r="L75" s="26">
        <v>46222</v>
      </c>
      <c r="M75" s="38">
        <v>46224</v>
      </c>
      <c r="N75" s="52">
        <v>16411</v>
      </c>
      <c r="O75" s="27"/>
      <c r="P75" s="27"/>
      <c r="Q75" s="27"/>
      <c r="R75" s="46">
        <v>4557.6000000000004</v>
      </c>
      <c r="S75" s="46">
        <v>1067.2000000000003</v>
      </c>
      <c r="T75" s="46">
        <f t="shared" si="0"/>
        <v>3490.4</v>
      </c>
      <c r="U75" s="46">
        <v>3530.2</v>
      </c>
      <c r="V75" s="46"/>
      <c r="W75" s="46"/>
      <c r="X75" s="46">
        <v>3477</v>
      </c>
      <c r="Y75" s="46"/>
      <c r="Z75" s="46">
        <f t="shared" si="50"/>
        <v>13.400000000000091</v>
      </c>
      <c r="AA75" s="39">
        <f t="shared" si="51"/>
        <v>3.8391015356406401E-3</v>
      </c>
      <c r="AB75" s="73">
        <v>3522.47</v>
      </c>
      <c r="AC75" s="73"/>
      <c r="AD75" s="73"/>
      <c r="AE75" s="39"/>
      <c r="AF75" s="74"/>
      <c r="AG75" s="74"/>
      <c r="AH75" s="75"/>
      <c r="AI75" s="75">
        <f t="shared" si="3"/>
        <v>0</v>
      </c>
      <c r="AJ75" s="32"/>
      <c r="AK75" s="32"/>
      <c r="AL75" s="32"/>
      <c r="AM75" s="33"/>
      <c r="AN75" s="33"/>
      <c r="AO75" s="33"/>
      <c r="AP75" s="34">
        <f t="shared" si="4"/>
        <v>0</v>
      </c>
      <c r="AQ75" s="32">
        <f t="shared" si="5"/>
        <v>0</v>
      </c>
      <c r="AR75" s="32">
        <f t="shared" si="6"/>
        <v>0</v>
      </c>
      <c r="AS75" s="32"/>
      <c r="AT75" s="32"/>
      <c r="AU75" s="32"/>
      <c r="AV75" s="32"/>
      <c r="AW75" s="32"/>
      <c r="AX75" s="32"/>
      <c r="AY75" s="32"/>
      <c r="AZ75" s="35"/>
      <c r="BB75" s="45">
        <f t="shared" si="52"/>
        <v>3522.47</v>
      </c>
      <c r="BC75" s="45">
        <f t="shared" si="53"/>
        <v>3477</v>
      </c>
      <c r="BD75" s="45"/>
      <c r="BE75" s="45">
        <f t="shared" si="23"/>
        <v>45.4699999999998</v>
      </c>
      <c r="BF75" s="39">
        <f t="shared" si="24"/>
        <v>1.2908555644192797E-2</v>
      </c>
    </row>
    <row r="76" spans="1:58" s="20" customFormat="1" ht="12.75" x14ac:dyDescent="0.2">
      <c r="A76" s="21">
        <f>IF(ISBLANK(F76),"",COUNTA($F$6:F76))</f>
        <v>71</v>
      </c>
      <c r="B76" s="37" t="s">
        <v>60</v>
      </c>
      <c r="C76" s="37" t="s">
        <v>61</v>
      </c>
      <c r="D76" s="22"/>
      <c r="E76" s="23" t="s">
        <v>65</v>
      </c>
      <c r="F76" s="36">
        <v>46222</v>
      </c>
      <c r="G76" s="24" t="s">
        <v>59</v>
      </c>
      <c r="H76" s="24">
        <v>58</v>
      </c>
      <c r="I76" s="24">
        <v>1</v>
      </c>
      <c r="J76" s="24" t="s">
        <v>67</v>
      </c>
      <c r="K76" s="25">
        <v>162011653</v>
      </c>
      <c r="L76" s="26">
        <v>46223</v>
      </c>
      <c r="M76" s="38">
        <v>46225</v>
      </c>
      <c r="N76" s="52">
        <v>16417</v>
      </c>
      <c r="O76" s="27"/>
      <c r="P76" s="27"/>
      <c r="Q76" s="27"/>
      <c r="R76" s="46">
        <v>5135.32</v>
      </c>
      <c r="S76" s="46">
        <v>1186.2199999999998</v>
      </c>
      <c r="T76" s="46">
        <f t="shared" ref="T76:T125" si="54">+R76-S76</f>
        <v>3949.1</v>
      </c>
      <c r="U76" s="46">
        <v>3964.4</v>
      </c>
      <c r="V76" s="46"/>
      <c r="W76" s="46"/>
      <c r="X76" s="46">
        <v>3897.2</v>
      </c>
      <c r="Y76" s="46"/>
      <c r="Z76" s="46">
        <f t="shared" si="50"/>
        <v>51.900000000000091</v>
      </c>
      <c r="AA76" s="39">
        <f t="shared" si="51"/>
        <v>1.3142234939606517E-2</v>
      </c>
      <c r="AB76" s="73">
        <v>3973.35</v>
      </c>
      <c r="AC76" s="73"/>
      <c r="AD76" s="73"/>
      <c r="AE76" s="39"/>
      <c r="AF76" s="74"/>
      <c r="AG76" s="74"/>
      <c r="AH76" s="75"/>
      <c r="AI76" s="75">
        <f t="shared" ref="AI76:AI125" si="55">+AG76+AH76</f>
        <v>0</v>
      </c>
      <c r="AJ76" s="32"/>
      <c r="AK76" s="32"/>
      <c r="AL76" s="32"/>
      <c r="AM76" s="33"/>
      <c r="AN76" s="33"/>
      <c r="AO76" s="33"/>
      <c r="AP76" s="34">
        <f t="shared" ref="AP76:AP125" si="56">ROUNDUP((AO76-AM76+(AO76&lt;AM76))*24,0)</f>
        <v>0</v>
      </c>
      <c r="AQ76" s="32">
        <f t="shared" ref="AQ76:AQ125" si="57">IF(AP76&gt;5,(AP76-5),0)</f>
        <v>0</v>
      </c>
      <c r="AR76" s="32">
        <f t="shared" ref="AR76:AR125" si="58">+AQ76*8850</f>
        <v>0</v>
      </c>
      <c r="AS76" s="32"/>
      <c r="AT76" s="32"/>
      <c r="AU76" s="32"/>
      <c r="AV76" s="32"/>
      <c r="AW76" s="32"/>
      <c r="AX76" s="32"/>
      <c r="AY76" s="32"/>
      <c r="AZ76" s="35"/>
      <c r="BB76" s="45">
        <f t="shared" si="52"/>
        <v>3973.35</v>
      </c>
      <c r="BC76" s="45">
        <f t="shared" si="53"/>
        <v>3897.2</v>
      </c>
      <c r="BD76" s="45"/>
      <c r="BE76" s="45">
        <f t="shared" si="23"/>
        <v>76.150000000000091</v>
      </c>
      <c r="BF76" s="39">
        <f t="shared" si="24"/>
        <v>1.9165188065486324E-2</v>
      </c>
    </row>
    <row r="77" spans="1:58" s="20" customFormat="1" ht="12.75" x14ac:dyDescent="0.2">
      <c r="A77" s="21">
        <f>IF(ISBLANK(F77),"",COUNTA($F$6:F77))</f>
        <v>72</v>
      </c>
      <c r="B77" s="37" t="s">
        <v>60</v>
      </c>
      <c r="C77" s="37" t="s">
        <v>61</v>
      </c>
      <c r="D77" s="22"/>
      <c r="E77" s="23" t="s">
        <v>64</v>
      </c>
      <c r="F77" s="36">
        <v>46222</v>
      </c>
      <c r="G77" s="24" t="s">
        <v>59</v>
      </c>
      <c r="H77" s="24">
        <v>59</v>
      </c>
      <c r="I77" s="24">
        <v>0</v>
      </c>
      <c r="J77" s="24" t="s">
        <v>64</v>
      </c>
      <c r="K77" s="25">
        <v>162004337</v>
      </c>
      <c r="L77" s="26">
        <v>46223</v>
      </c>
      <c r="M77" s="38">
        <v>46224</v>
      </c>
      <c r="N77" s="52">
        <v>16412</v>
      </c>
      <c r="O77" s="27"/>
      <c r="P77" s="27"/>
      <c r="Q77" s="27"/>
      <c r="R77" s="46">
        <v>5271.45</v>
      </c>
      <c r="S77" s="46">
        <v>1235.4499999999998</v>
      </c>
      <c r="T77" s="46">
        <f t="shared" si="54"/>
        <v>4036</v>
      </c>
      <c r="U77" s="46">
        <v>4054.6</v>
      </c>
      <c r="V77" s="46"/>
      <c r="W77" s="46"/>
      <c r="X77" s="46">
        <v>3988.8</v>
      </c>
      <c r="Y77" s="46"/>
      <c r="Z77" s="46">
        <f t="shared" si="50"/>
        <v>47.199999999999818</v>
      </c>
      <c r="AA77" s="39">
        <f t="shared" si="51"/>
        <v>1.1694747274529191E-2</v>
      </c>
      <c r="AB77" s="73">
        <v>4036</v>
      </c>
      <c r="AC77" s="73"/>
      <c r="AD77" s="73"/>
      <c r="AE77" s="39"/>
      <c r="AF77" s="74"/>
      <c r="AG77" s="74"/>
      <c r="AH77" s="75"/>
      <c r="AI77" s="75">
        <f t="shared" si="55"/>
        <v>0</v>
      </c>
      <c r="AJ77" s="32"/>
      <c r="AK77" s="32"/>
      <c r="AL77" s="32"/>
      <c r="AM77" s="33"/>
      <c r="AN77" s="33"/>
      <c r="AO77" s="33"/>
      <c r="AP77" s="34">
        <f t="shared" si="56"/>
        <v>0</v>
      </c>
      <c r="AQ77" s="32">
        <f t="shared" si="57"/>
        <v>0</v>
      </c>
      <c r="AR77" s="32">
        <f t="shared" si="58"/>
        <v>0</v>
      </c>
      <c r="AS77" s="32"/>
      <c r="AT77" s="32"/>
      <c r="AU77" s="32"/>
      <c r="AV77" s="32"/>
      <c r="AW77" s="32"/>
      <c r="AX77" s="32"/>
      <c r="AY77" s="32"/>
      <c r="AZ77" s="35"/>
      <c r="BB77" s="45">
        <f t="shared" si="52"/>
        <v>4036</v>
      </c>
      <c r="BC77" s="45">
        <f t="shared" si="53"/>
        <v>3988.8</v>
      </c>
      <c r="BD77" s="45"/>
      <c r="BE77" s="45">
        <f t="shared" si="23"/>
        <v>47.199999999999818</v>
      </c>
      <c r="BF77" s="39">
        <f t="shared" si="24"/>
        <v>1.1694747274529191E-2</v>
      </c>
    </row>
    <row r="78" spans="1:58" s="20" customFormat="1" ht="12.75" x14ac:dyDescent="0.2">
      <c r="A78" s="21">
        <f>IF(ISBLANK(F78),"",COUNTA($F$6:F78))</f>
        <v>73</v>
      </c>
      <c r="B78" s="37" t="s">
        <v>60</v>
      </c>
      <c r="C78" s="37" t="s">
        <v>61</v>
      </c>
      <c r="D78" s="22"/>
      <c r="E78" s="23" t="s">
        <v>65</v>
      </c>
      <c r="F78" s="36">
        <v>46223</v>
      </c>
      <c r="G78" s="24" t="s">
        <v>59</v>
      </c>
      <c r="H78" s="24">
        <v>58</v>
      </c>
      <c r="I78" s="24">
        <v>1</v>
      </c>
      <c r="J78" s="24" t="s">
        <v>67</v>
      </c>
      <c r="K78" s="25">
        <v>162011654</v>
      </c>
      <c r="L78" s="26">
        <v>46223</v>
      </c>
      <c r="M78" s="38">
        <v>46225</v>
      </c>
      <c r="N78" s="52">
        <v>16416</v>
      </c>
      <c r="O78" s="27"/>
      <c r="P78" s="27"/>
      <c r="Q78" s="27"/>
      <c r="R78" s="46">
        <v>5087</v>
      </c>
      <c r="S78" s="46">
        <v>1184.5</v>
      </c>
      <c r="T78" s="46">
        <f t="shared" si="54"/>
        <v>3902.5</v>
      </c>
      <c r="U78" s="46">
        <v>3962.6</v>
      </c>
      <c r="V78" s="46"/>
      <c r="W78" s="46"/>
      <c r="X78" s="46">
        <v>3953.4</v>
      </c>
      <c r="Y78" s="46"/>
      <c r="Z78" s="46">
        <f t="shared" si="50"/>
        <v>-50.900000000000091</v>
      </c>
      <c r="AA78" s="39">
        <f t="shared" si="51"/>
        <v>-1.3042921204356205E-2</v>
      </c>
      <c r="AB78" s="73">
        <v>3910.46</v>
      </c>
      <c r="AC78" s="73"/>
      <c r="AD78" s="73"/>
      <c r="AE78" s="39"/>
      <c r="AF78" s="74"/>
      <c r="AG78" s="74"/>
      <c r="AH78" s="75"/>
      <c r="AI78" s="75">
        <f t="shared" si="55"/>
        <v>0</v>
      </c>
      <c r="AJ78" s="32"/>
      <c r="AK78" s="32"/>
      <c r="AL78" s="32"/>
      <c r="AM78" s="33"/>
      <c r="AN78" s="33"/>
      <c r="AO78" s="33"/>
      <c r="AP78" s="34">
        <f t="shared" si="56"/>
        <v>0</v>
      </c>
      <c r="AQ78" s="32">
        <f t="shared" si="57"/>
        <v>0</v>
      </c>
      <c r="AR78" s="32">
        <f t="shared" si="58"/>
        <v>0</v>
      </c>
      <c r="AS78" s="32"/>
      <c r="AT78" s="32"/>
      <c r="AU78" s="32"/>
      <c r="AV78" s="32"/>
      <c r="AW78" s="32"/>
      <c r="AX78" s="32"/>
      <c r="AY78" s="32"/>
      <c r="AZ78" s="35"/>
      <c r="BB78" s="45">
        <f t="shared" si="52"/>
        <v>3910.46</v>
      </c>
      <c r="BC78" s="45">
        <f t="shared" si="53"/>
        <v>3953.4</v>
      </c>
      <c r="BD78" s="45"/>
      <c r="BE78" s="45">
        <f t="shared" si="23"/>
        <v>-42.940000000000055</v>
      </c>
      <c r="BF78" s="39">
        <f t="shared" si="24"/>
        <v>-1.0980805327250516E-2</v>
      </c>
    </row>
    <row r="79" spans="1:58" s="20" customFormat="1" ht="12.75" x14ac:dyDescent="0.2">
      <c r="A79" s="21">
        <f>IF(ISBLANK(F79),"",COUNTA($F$6:F79))</f>
        <v>74</v>
      </c>
      <c r="B79" s="37" t="s">
        <v>60</v>
      </c>
      <c r="C79" s="37" t="s">
        <v>61</v>
      </c>
      <c r="D79" s="22"/>
      <c r="E79" s="23" t="s">
        <v>64</v>
      </c>
      <c r="F79" s="36">
        <v>46223</v>
      </c>
      <c r="G79" s="24" t="s">
        <v>59</v>
      </c>
      <c r="H79" s="24">
        <v>58</v>
      </c>
      <c r="I79" s="24">
        <v>0</v>
      </c>
      <c r="J79" s="24" t="s">
        <v>64</v>
      </c>
      <c r="K79" s="25">
        <v>162004339</v>
      </c>
      <c r="L79" s="26">
        <v>46223</v>
      </c>
      <c r="M79" s="38">
        <v>46225</v>
      </c>
      <c r="N79" s="52">
        <v>16418</v>
      </c>
      <c r="O79" s="27"/>
      <c r="P79" s="27"/>
      <c r="Q79" s="27"/>
      <c r="R79" s="46">
        <v>5180.97</v>
      </c>
      <c r="S79" s="46">
        <v>1216.3700000000003</v>
      </c>
      <c r="T79" s="46">
        <f t="shared" si="54"/>
        <v>3964.6</v>
      </c>
      <c r="U79" s="46">
        <v>3983.8</v>
      </c>
      <c r="V79" s="46"/>
      <c r="W79" s="46"/>
      <c r="X79" s="46">
        <v>4031.2</v>
      </c>
      <c r="Y79" s="46"/>
      <c r="Z79" s="46">
        <f t="shared" si="50"/>
        <v>-66.599999999999909</v>
      </c>
      <c r="AA79" s="39">
        <f t="shared" si="51"/>
        <v>-1.6798668213691144E-2</v>
      </c>
      <c r="AB79" s="73">
        <v>3964.6</v>
      </c>
      <c r="AC79" s="73"/>
      <c r="AD79" s="73"/>
      <c r="AE79" s="39"/>
      <c r="AF79" s="74"/>
      <c r="AG79" s="74"/>
      <c r="AH79" s="75"/>
      <c r="AI79" s="75">
        <f t="shared" si="55"/>
        <v>0</v>
      </c>
      <c r="AJ79" s="32"/>
      <c r="AK79" s="32"/>
      <c r="AL79" s="32"/>
      <c r="AM79" s="33"/>
      <c r="AN79" s="33"/>
      <c r="AO79" s="33"/>
      <c r="AP79" s="34">
        <f t="shared" si="56"/>
        <v>0</v>
      </c>
      <c r="AQ79" s="32">
        <f t="shared" si="57"/>
        <v>0</v>
      </c>
      <c r="AR79" s="32">
        <f t="shared" si="58"/>
        <v>0</v>
      </c>
      <c r="AS79" s="32"/>
      <c r="AT79" s="32"/>
      <c r="AU79" s="32"/>
      <c r="AV79" s="32"/>
      <c r="AW79" s="32"/>
      <c r="AX79" s="32"/>
      <c r="AY79" s="32"/>
      <c r="AZ79" s="35"/>
      <c r="BB79" s="45">
        <f t="shared" si="52"/>
        <v>3964.6</v>
      </c>
      <c r="BC79" s="45">
        <f t="shared" si="53"/>
        <v>4031.2</v>
      </c>
      <c r="BD79" s="45"/>
      <c r="BE79" s="45">
        <f t="shared" si="23"/>
        <v>-66.599999999999909</v>
      </c>
      <c r="BF79" s="39">
        <f t="shared" si="24"/>
        <v>-1.6798668213691144E-2</v>
      </c>
    </row>
    <row r="80" spans="1:58" s="20" customFormat="1" ht="12.75" x14ac:dyDescent="0.2">
      <c r="A80" s="21">
        <f>IF(ISBLANK(F80),"",COUNTA($F$6:F80))</f>
        <v>75</v>
      </c>
      <c r="B80" s="37" t="s">
        <v>60</v>
      </c>
      <c r="C80" s="37" t="s">
        <v>61</v>
      </c>
      <c r="D80" s="22"/>
      <c r="E80" s="23" t="s">
        <v>65</v>
      </c>
      <c r="F80" s="36">
        <v>46223</v>
      </c>
      <c r="G80" s="24" t="s">
        <v>59</v>
      </c>
      <c r="H80" s="24">
        <v>58</v>
      </c>
      <c r="I80" s="24">
        <v>0</v>
      </c>
      <c r="J80" s="24" t="s">
        <v>67</v>
      </c>
      <c r="K80" s="25">
        <v>162011656</v>
      </c>
      <c r="L80" s="26">
        <v>46224</v>
      </c>
      <c r="M80" s="38">
        <v>46225</v>
      </c>
      <c r="N80" s="52">
        <v>16422</v>
      </c>
      <c r="O80" s="27"/>
      <c r="P80" s="27"/>
      <c r="Q80" s="27"/>
      <c r="R80" s="46">
        <v>5186.6000000000004</v>
      </c>
      <c r="S80" s="46">
        <v>1230.6000000000004</v>
      </c>
      <c r="T80" s="46">
        <f t="shared" ref="T80:T89" si="59">+R80-S80</f>
        <v>3956</v>
      </c>
      <c r="U80" s="46">
        <v>4002</v>
      </c>
      <c r="V80" s="46"/>
      <c r="W80" s="46"/>
      <c r="X80" s="46">
        <v>3991</v>
      </c>
      <c r="Y80" s="46"/>
      <c r="Z80" s="46">
        <f t="shared" si="50"/>
        <v>-35</v>
      </c>
      <c r="AA80" s="39">
        <f t="shared" si="51"/>
        <v>-8.8473205257836203E-3</v>
      </c>
      <c r="AB80" s="73">
        <v>3957.19</v>
      </c>
      <c r="AC80" s="73"/>
      <c r="AD80" s="73"/>
      <c r="AE80" s="39"/>
      <c r="AF80" s="74"/>
      <c r="AG80" s="74"/>
      <c r="AH80" s="75"/>
      <c r="AI80" s="75">
        <f t="shared" ref="AI80:AI89" si="60">+AG80+AH80</f>
        <v>0</v>
      </c>
      <c r="AJ80" s="32"/>
      <c r="AK80" s="32"/>
      <c r="AL80" s="32"/>
      <c r="AM80" s="33"/>
      <c r="AN80" s="33"/>
      <c r="AO80" s="33"/>
      <c r="AP80" s="34">
        <f t="shared" ref="AP80:AP89" si="61">ROUNDUP((AO80-AM80+(AO80&lt;AM80))*24,0)</f>
        <v>0</v>
      </c>
      <c r="AQ80" s="32">
        <f t="shared" ref="AQ80:AQ89" si="62">IF(AP80&gt;5,(AP80-5),0)</f>
        <v>0</v>
      </c>
      <c r="AR80" s="32">
        <f t="shared" ref="AR80:AR89" si="63">+AQ80*8850</f>
        <v>0</v>
      </c>
      <c r="AS80" s="32"/>
      <c r="AT80" s="32"/>
      <c r="AU80" s="32"/>
      <c r="AV80" s="32"/>
      <c r="AW80" s="32"/>
      <c r="AX80" s="32"/>
      <c r="AY80" s="32"/>
      <c r="AZ80" s="35"/>
      <c r="BB80" s="45">
        <f t="shared" si="52"/>
        <v>3957.19</v>
      </c>
      <c r="BC80" s="45">
        <f t="shared" si="53"/>
        <v>3991</v>
      </c>
      <c r="BD80" s="45"/>
      <c r="BE80" s="45">
        <f t="shared" ref="BE80:BE89" si="64">+BB80-BC80</f>
        <v>-33.809999999999945</v>
      </c>
      <c r="BF80" s="39">
        <f t="shared" ref="BF80:BF89" si="65">+BE80/BB80</f>
        <v>-8.5439415342705161E-3</v>
      </c>
    </row>
    <row r="81" spans="1:58" s="20" customFormat="1" ht="12.75" x14ac:dyDescent="0.2">
      <c r="A81" s="21">
        <f>IF(ISBLANK(F81),"",COUNTA($F$6:F81))</f>
        <v>76</v>
      </c>
      <c r="B81" s="37" t="s">
        <v>60</v>
      </c>
      <c r="C81" s="37" t="s">
        <v>61</v>
      </c>
      <c r="D81" s="22"/>
      <c r="E81" s="23" t="s">
        <v>63</v>
      </c>
      <c r="F81" s="36">
        <v>46223</v>
      </c>
      <c r="G81" s="24" t="s">
        <v>59</v>
      </c>
      <c r="H81" s="24">
        <v>58</v>
      </c>
      <c r="I81" s="24">
        <v>5</v>
      </c>
      <c r="J81" s="24" t="s">
        <v>63</v>
      </c>
      <c r="K81" s="25">
        <v>162006328</v>
      </c>
      <c r="L81" s="26">
        <v>46223</v>
      </c>
      <c r="M81" s="38">
        <v>46225</v>
      </c>
      <c r="N81" s="52">
        <v>16419</v>
      </c>
      <c r="O81" s="27"/>
      <c r="P81" s="27"/>
      <c r="Q81" s="27"/>
      <c r="R81" s="46">
        <v>4758.6400000000003</v>
      </c>
      <c r="S81" s="46">
        <v>1111.7400000000002</v>
      </c>
      <c r="T81" s="46">
        <f t="shared" si="59"/>
        <v>3646.9</v>
      </c>
      <c r="U81" s="46">
        <v>3652</v>
      </c>
      <c r="V81" s="46"/>
      <c r="W81" s="46"/>
      <c r="X81" s="46">
        <v>3568</v>
      </c>
      <c r="Y81" s="46"/>
      <c r="Z81" s="46">
        <f t="shared" si="50"/>
        <v>78.900000000000091</v>
      </c>
      <c r="AA81" s="39">
        <f t="shared" si="51"/>
        <v>2.1634813128958867E-2</v>
      </c>
      <c r="AB81" s="73">
        <v>3646.85</v>
      </c>
      <c r="AC81" s="73"/>
      <c r="AD81" s="73"/>
      <c r="AE81" s="39"/>
      <c r="AF81" s="74"/>
      <c r="AG81" s="74"/>
      <c r="AH81" s="75"/>
      <c r="AI81" s="75">
        <f t="shared" si="60"/>
        <v>0</v>
      </c>
      <c r="AJ81" s="32"/>
      <c r="AK81" s="32"/>
      <c r="AL81" s="32"/>
      <c r="AM81" s="33"/>
      <c r="AN81" s="33"/>
      <c r="AO81" s="33"/>
      <c r="AP81" s="34">
        <f t="shared" si="61"/>
        <v>0</v>
      </c>
      <c r="AQ81" s="32">
        <f t="shared" si="62"/>
        <v>0</v>
      </c>
      <c r="AR81" s="32">
        <f t="shared" si="63"/>
        <v>0</v>
      </c>
      <c r="AS81" s="32"/>
      <c r="AT81" s="32"/>
      <c r="AU81" s="32"/>
      <c r="AV81" s="32"/>
      <c r="AW81" s="32"/>
      <c r="AX81" s="32"/>
      <c r="AY81" s="32"/>
      <c r="AZ81" s="35"/>
      <c r="BB81" s="45">
        <f t="shared" si="52"/>
        <v>3646.85</v>
      </c>
      <c r="BC81" s="45">
        <f t="shared" si="53"/>
        <v>3568</v>
      </c>
      <c r="BD81" s="45"/>
      <c r="BE81" s="45">
        <f t="shared" si="64"/>
        <v>78.849999999999909</v>
      </c>
      <c r="BF81" s="39">
        <f t="shared" si="65"/>
        <v>2.1621399289798022E-2</v>
      </c>
    </row>
    <row r="82" spans="1:58" s="20" customFormat="1" ht="12.75" x14ac:dyDescent="0.2">
      <c r="A82" s="21">
        <f>IF(ISBLANK(F82),"",COUNTA($F$6:F82))</f>
        <v>77</v>
      </c>
      <c r="B82" s="37" t="s">
        <v>60</v>
      </c>
      <c r="C82" s="37" t="s">
        <v>61</v>
      </c>
      <c r="D82" s="22"/>
      <c r="E82" s="23" t="s">
        <v>68</v>
      </c>
      <c r="F82" s="36">
        <v>46223</v>
      </c>
      <c r="G82" s="24" t="s">
        <v>59</v>
      </c>
      <c r="H82" s="24">
        <v>58</v>
      </c>
      <c r="I82" s="24">
        <v>2</v>
      </c>
      <c r="J82" s="24" t="s">
        <v>68</v>
      </c>
      <c r="K82" s="25">
        <v>162001389</v>
      </c>
      <c r="L82" s="26">
        <v>46223</v>
      </c>
      <c r="M82" s="38">
        <v>46225</v>
      </c>
      <c r="N82" s="52">
        <v>16420</v>
      </c>
      <c r="O82" s="27"/>
      <c r="P82" s="27"/>
      <c r="Q82" s="27"/>
      <c r="R82" s="46">
        <v>5023.74</v>
      </c>
      <c r="S82" s="46">
        <v>1173.2399999999998</v>
      </c>
      <c r="T82" s="46">
        <f t="shared" si="59"/>
        <v>3850.5</v>
      </c>
      <c r="U82" s="46">
        <v>3856.8</v>
      </c>
      <c r="V82" s="46"/>
      <c r="W82" s="46"/>
      <c r="X82" s="46">
        <v>3789</v>
      </c>
      <c r="Y82" s="46"/>
      <c r="Z82" s="46">
        <f t="shared" si="50"/>
        <v>61.5</v>
      </c>
      <c r="AA82" s="39">
        <f t="shared" si="51"/>
        <v>1.597195169458512E-2</v>
      </c>
      <c r="AB82" s="73">
        <v>3850.5</v>
      </c>
      <c r="AC82" s="73"/>
      <c r="AD82" s="73"/>
      <c r="AE82" s="39"/>
      <c r="AF82" s="74"/>
      <c r="AG82" s="74"/>
      <c r="AH82" s="75"/>
      <c r="AI82" s="75">
        <f t="shared" si="60"/>
        <v>0</v>
      </c>
      <c r="AJ82" s="32"/>
      <c r="AK82" s="32"/>
      <c r="AL82" s="32"/>
      <c r="AM82" s="33"/>
      <c r="AN82" s="33"/>
      <c r="AO82" s="33"/>
      <c r="AP82" s="34">
        <f t="shared" si="61"/>
        <v>0</v>
      </c>
      <c r="AQ82" s="32">
        <f t="shared" si="62"/>
        <v>0</v>
      </c>
      <c r="AR82" s="32">
        <f t="shared" si="63"/>
        <v>0</v>
      </c>
      <c r="AS82" s="32"/>
      <c r="AT82" s="32"/>
      <c r="AU82" s="32"/>
      <c r="AV82" s="32"/>
      <c r="AW82" s="32"/>
      <c r="AX82" s="32"/>
      <c r="AY82" s="32"/>
      <c r="AZ82" s="35"/>
      <c r="BB82" s="45">
        <f t="shared" si="52"/>
        <v>3850.5</v>
      </c>
      <c r="BC82" s="45">
        <f t="shared" si="53"/>
        <v>3789</v>
      </c>
      <c r="BD82" s="45"/>
      <c r="BE82" s="45">
        <f t="shared" si="64"/>
        <v>61.5</v>
      </c>
      <c r="BF82" s="39">
        <f t="shared" si="65"/>
        <v>1.597195169458512E-2</v>
      </c>
    </row>
    <row r="83" spans="1:58" s="20" customFormat="1" ht="12.75" x14ac:dyDescent="0.2">
      <c r="A83" s="21">
        <f>IF(ISBLANK(F83),"",COUNTA($F$6:F83))</f>
        <v>78</v>
      </c>
      <c r="B83" s="37" t="s">
        <v>60</v>
      </c>
      <c r="C83" s="37" t="s">
        <v>61</v>
      </c>
      <c r="D83" s="22"/>
      <c r="E83" s="23" t="s">
        <v>62</v>
      </c>
      <c r="F83" s="36">
        <v>46224</v>
      </c>
      <c r="G83" s="24" t="s">
        <v>59</v>
      </c>
      <c r="H83" s="24">
        <v>59</v>
      </c>
      <c r="I83" s="24">
        <v>4</v>
      </c>
      <c r="J83" s="24" t="s">
        <v>62</v>
      </c>
      <c r="K83" s="25">
        <v>162008485</v>
      </c>
      <c r="L83" s="26">
        <v>46224</v>
      </c>
      <c r="M83" s="38">
        <v>46226</v>
      </c>
      <c r="N83" s="52">
        <v>16427</v>
      </c>
      <c r="O83" s="27"/>
      <c r="P83" s="27"/>
      <c r="Q83" s="27"/>
      <c r="R83" s="46">
        <v>4960.57</v>
      </c>
      <c r="S83" s="46">
        <v>1148.8699999999999</v>
      </c>
      <c r="T83" s="46">
        <f t="shared" si="59"/>
        <v>3811.7</v>
      </c>
      <c r="U83" s="46">
        <v>3806</v>
      </c>
      <c r="V83" s="46"/>
      <c r="W83" s="46"/>
      <c r="X83" s="46">
        <v>3923</v>
      </c>
      <c r="Y83" s="46"/>
      <c r="Z83" s="46">
        <f t="shared" si="50"/>
        <v>-111.30000000000018</v>
      </c>
      <c r="AA83" s="39">
        <f t="shared" si="51"/>
        <v>-2.919956974578277E-2</v>
      </c>
      <c r="AB83" s="73">
        <v>3811.66</v>
      </c>
      <c r="AC83" s="73"/>
      <c r="AD83" s="73"/>
      <c r="AE83" s="39"/>
      <c r="AF83" s="74"/>
      <c r="AG83" s="74"/>
      <c r="AH83" s="75"/>
      <c r="AI83" s="75">
        <f t="shared" si="60"/>
        <v>0</v>
      </c>
      <c r="AJ83" s="32"/>
      <c r="AK83" s="32"/>
      <c r="AL83" s="32"/>
      <c r="AM83" s="33"/>
      <c r="AN83" s="33"/>
      <c r="AO83" s="33"/>
      <c r="AP83" s="34">
        <f t="shared" si="61"/>
        <v>0</v>
      </c>
      <c r="AQ83" s="32">
        <f t="shared" si="62"/>
        <v>0</v>
      </c>
      <c r="AR83" s="32">
        <f t="shared" si="63"/>
        <v>0</v>
      </c>
      <c r="AS83" s="32"/>
      <c r="AT83" s="32"/>
      <c r="AU83" s="32"/>
      <c r="AV83" s="32"/>
      <c r="AW83" s="32"/>
      <c r="AX83" s="32"/>
      <c r="AY83" s="32"/>
      <c r="AZ83" s="35"/>
      <c r="BB83" s="45">
        <f t="shared" si="52"/>
        <v>3811.66</v>
      </c>
      <c r="BC83" s="45">
        <f t="shared" si="53"/>
        <v>3923</v>
      </c>
      <c r="BD83" s="45"/>
      <c r="BE83" s="45">
        <f t="shared" si="64"/>
        <v>-111.34000000000015</v>
      </c>
      <c r="BF83" s="39">
        <f t="shared" si="65"/>
        <v>-2.9210370284862803E-2</v>
      </c>
    </row>
    <row r="84" spans="1:58" s="20" customFormat="1" ht="12.75" x14ac:dyDescent="0.2">
      <c r="A84" s="21">
        <f>IF(ISBLANK(F84),"",COUNTA($F$6:F84))</f>
        <v>79</v>
      </c>
      <c r="B84" s="37" t="s">
        <v>60</v>
      </c>
      <c r="C84" s="37" t="s">
        <v>61</v>
      </c>
      <c r="D84" s="22"/>
      <c r="E84" s="23" t="s">
        <v>65</v>
      </c>
      <c r="F84" s="36">
        <v>46224</v>
      </c>
      <c r="G84" s="24" t="s">
        <v>59</v>
      </c>
      <c r="H84" s="24">
        <v>59</v>
      </c>
      <c r="I84" s="24">
        <v>12</v>
      </c>
      <c r="J84" s="24" t="s">
        <v>67</v>
      </c>
      <c r="K84" s="25">
        <v>162011657</v>
      </c>
      <c r="L84" s="26">
        <v>46224</v>
      </c>
      <c r="M84" s="38">
        <v>46226</v>
      </c>
      <c r="N84" s="52">
        <v>16426</v>
      </c>
      <c r="O84" s="27"/>
      <c r="P84" s="27"/>
      <c r="Q84" s="27"/>
      <c r="R84" s="46">
        <v>4223.4799999999996</v>
      </c>
      <c r="S84" s="46">
        <v>989.57999999999947</v>
      </c>
      <c r="T84" s="46">
        <f t="shared" si="59"/>
        <v>3233.9</v>
      </c>
      <c r="U84" s="46">
        <v>3259.2</v>
      </c>
      <c r="V84" s="46"/>
      <c r="W84" s="46"/>
      <c r="X84" s="46">
        <v>3354</v>
      </c>
      <c r="Y84" s="46"/>
      <c r="Z84" s="46">
        <f t="shared" si="50"/>
        <v>-120.09999999999991</v>
      </c>
      <c r="AA84" s="39">
        <f t="shared" si="51"/>
        <v>-3.7137821206592633E-2</v>
      </c>
      <c r="AB84" s="73">
        <v>3289.7</v>
      </c>
      <c r="AC84" s="73"/>
      <c r="AD84" s="73"/>
      <c r="AE84" s="39"/>
      <c r="AF84" s="74"/>
      <c r="AG84" s="74"/>
      <c r="AH84" s="75"/>
      <c r="AI84" s="75">
        <f t="shared" si="60"/>
        <v>0</v>
      </c>
      <c r="AJ84" s="32"/>
      <c r="AK84" s="32"/>
      <c r="AL84" s="32"/>
      <c r="AM84" s="33"/>
      <c r="AN84" s="33"/>
      <c r="AO84" s="33"/>
      <c r="AP84" s="34">
        <f t="shared" si="61"/>
        <v>0</v>
      </c>
      <c r="AQ84" s="32">
        <f t="shared" si="62"/>
        <v>0</v>
      </c>
      <c r="AR84" s="32">
        <f t="shared" si="63"/>
        <v>0</v>
      </c>
      <c r="AS84" s="32"/>
      <c r="AT84" s="32"/>
      <c r="AU84" s="32"/>
      <c r="AV84" s="32"/>
      <c r="AW84" s="32"/>
      <c r="AX84" s="32"/>
      <c r="AY84" s="32"/>
      <c r="AZ84" s="35"/>
      <c r="BB84" s="45">
        <f t="shared" si="52"/>
        <v>3289.7</v>
      </c>
      <c r="BC84" s="45">
        <f t="shared" si="53"/>
        <v>3354</v>
      </c>
      <c r="BD84" s="45"/>
      <c r="BE84" s="45">
        <f t="shared" si="64"/>
        <v>-64.300000000000182</v>
      </c>
      <c r="BF84" s="39">
        <f t="shared" si="65"/>
        <v>-1.9545855245159189E-2</v>
      </c>
    </row>
    <row r="85" spans="1:58" s="20" customFormat="1" ht="12.75" x14ac:dyDescent="0.2">
      <c r="A85" s="21">
        <f>IF(ISBLANK(F85),"",COUNTA($F$6:F85))</f>
        <v>80</v>
      </c>
      <c r="B85" s="37" t="s">
        <v>60</v>
      </c>
      <c r="C85" s="37" t="s">
        <v>61</v>
      </c>
      <c r="D85" s="22"/>
      <c r="E85" s="23" t="s">
        <v>64</v>
      </c>
      <c r="F85" s="36">
        <v>46224</v>
      </c>
      <c r="G85" s="24" t="s">
        <v>59</v>
      </c>
      <c r="H85" s="24">
        <v>55</v>
      </c>
      <c r="I85" s="24">
        <v>0</v>
      </c>
      <c r="J85" s="24" t="s">
        <v>64</v>
      </c>
      <c r="K85" s="25">
        <v>162004340</v>
      </c>
      <c r="L85" s="26">
        <v>46224</v>
      </c>
      <c r="M85" s="38">
        <v>46226</v>
      </c>
      <c r="N85" s="52">
        <v>16423</v>
      </c>
      <c r="O85" s="27"/>
      <c r="P85" s="27"/>
      <c r="Q85" s="27"/>
      <c r="R85" s="46">
        <v>4922.96</v>
      </c>
      <c r="S85" s="46">
        <v>1149.8600000000001</v>
      </c>
      <c r="T85" s="46">
        <f t="shared" si="59"/>
        <v>3773.1</v>
      </c>
      <c r="U85" s="46">
        <v>3788.6</v>
      </c>
      <c r="V85" s="46"/>
      <c r="W85" s="46"/>
      <c r="X85" s="46">
        <v>3721.4</v>
      </c>
      <c r="Y85" s="46"/>
      <c r="Z85" s="46">
        <f t="shared" si="50"/>
        <v>51.699999999999818</v>
      </c>
      <c r="AA85" s="39">
        <f t="shared" si="51"/>
        <v>1.3702260740505108E-2</v>
      </c>
      <c r="AB85" s="73">
        <v>3773.1</v>
      </c>
      <c r="AC85" s="73"/>
      <c r="AD85" s="73"/>
      <c r="AE85" s="39"/>
      <c r="AF85" s="74"/>
      <c r="AG85" s="74"/>
      <c r="AH85" s="75"/>
      <c r="AI85" s="75">
        <f t="shared" si="60"/>
        <v>0</v>
      </c>
      <c r="AJ85" s="32"/>
      <c r="AK85" s="32"/>
      <c r="AL85" s="32"/>
      <c r="AM85" s="33"/>
      <c r="AN85" s="33"/>
      <c r="AO85" s="33"/>
      <c r="AP85" s="34">
        <f t="shared" si="61"/>
        <v>0</v>
      </c>
      <c r="AQ85" s="32">
        <f t="shared" si="62"/>
        <v>0</v>
      </c>
      <c r="AR85" s="32">
        <f t="shared" si="63"/>
        <v>0</v>
      </c>
      <c r="AS85" s="32"/>
      <c r="AT85" s="32"/>
      <c r="AU85" s="32"/>
      <c r="AV85" s="32"/>
      <c r="AW85" s="32"/>
      <c r="AX85" s="32"/>
      <c r="AY85" s="32"/>
      <c r="AZ85" s="35"/>
      <c r="BB85" s="45">
        <f t="shared" si="52"/>
        <v>3773.1</v>
      </c>
      <c r="BC85" s="45">
        <f t="shared" si="53"/>
        <v>3721.4</v>
      </c>
      <c r="BD85" s="45"/>
      <c r="BE85" s="45">
        <f t="shared" si="64"/>
        <v>51.699999999999818</v>
      </c>
      <c r="BF85" s="39">
        <f t="shared" si="65"/>
        <v>1.3702260740505108E-2</v>
      </c>
    </row>
    <row r="86" spans="1:58" s="20" customFormat="1" ht="12.75" x14ac:dyDescent="0.2">
      <c r="A86" s="21">
        <f>IF(ISBLANK(F86),"",COUNTA($F$6:F86))</f>
        <v>81</v>
      </c>
      <c r="B86" s="37" t="s">
        <v>60</v>
      </c>
      <c r="C86" s="37" t="s">
        <v>61</v>
      </c>
      <c r="D86" s="22"/>
      <c r="E86" s="23" t="s">
        <v>64</v>
      </c>
      <c r="F86" s="36">
        <v>46224</v>
      </c>
      <c r="G86" s="24" t="s">
        <v>59</v>
      </c>
      <c r="H86" s="24">
        <v>58</v>
      </c>
      <c r="I86" s="24">
        <v>1</v>
      </c>
      <c r="J86" s="24" t="s">
        <v>64</v>
      </c>
      <c r="K86" s="25">
        <v>162004341</v>
      </c>
      <c r="L86" s="26">
        <v>46224</v>
      </c>
      <c r="M86" s="38">
        <v>46226</v>
      </c>
      <c r="N86" s="52">
        <v>16429</v>
      </c>
      <c r="O86" s="27"/>
      <c r="P86" s="27"/>
      <c r="Q86" s="27"/>
      <c r="R86" s="46">
        <v>5098.75</v>
      </c>
      <c r="S86" s="46">
        <v>1188.3499999999999</v>
      </c>
      <c r="T86" s="46">
        <f t="shared" si="59"/>
        <v>3910.4</v>
      </c>
      <c r="U86" s="46">
        <v>3923.4</v>
      </c>
      <c r="V86" s="46"/>
      <c r="W86" s="46"/>
      <c r="X86" s="46">
        <v>3846.2</v>
      </c>
      <c r="Y86" s="46"/>
      <c r="Z86" s="46">
        <f t="shared" si="50"/>
        <v>64.200000000000273</v>
      </c>
      <c r="AA86" s="39">
        <f t="shared" si="51"/>
        <v>1.6417757774140822E-2</v>
      </c>
      <c r="AB86" s="73">
        <v>3910.35</v>
      </c>
      <c r="AC86" s="73"/>
      <c r="AD86" s="73"/>
      <c r="AE86" s="39"/>
      <c r="AF86" s="74"/>
      <c r="AG86" s="74"/>
      <c r="AH86" s="75"/>
      <c r="AI86" s="75">
        <f t="shared" si="60"/>
        <v>0</v>
      </c>
      <c r="AJ86" s="32"/>
      <c r="AK86" s="32"/>
      <c r="AL86" s="32"/>
      <c r="AM86" s="33"/>
      <c r="AN86" s="33"/>
      <c r="AO86" s="33"/>
      <c r="AP86" s="34">
        <f t="shared" si="61"/>
        <v>0</v>
      </c>
      <c r="AQ86" s="32">
        <f t="shared" si="62"/>
        <v>0</v>
      </c>
      <c r="AR86" s="32">
        <f t="shared" si="63"/>
        <v>0</v>
      </c>
      <c r="AS86" s="32"/>
      <c r="AT86" s="32"/>
      <c r="AU86" s="32"/>
      <c r="AV86" s="32"/>
      <c r="AW86" s="32"/>
      <c r="AX86" s="32"/>
      <c r="AY86" s="32"/>
      <c r="AZ86" s="35"/>
      <c r="BB86" s="45">
        <f t="shared" si="52"/>
        <v>3910.35</v>
      </c>
      <c r="BC86" s="45">
        <f t="shared" si="53"/>
        <v>3846.2</v>
      </c>
      <c r="BD86" s="45"/>
      <c r="BE86" s="45">
        <f t="shared" si="64"/>
        <v>64.150000000000091</v>
      </c>
      <c r="BF86" s="39">
        <f t="shared" si="65"/>
        <v>1.6405181121894482E-2</v>
      </c>
    </row>
    <row r="87" spans="1:58" s="20" customFormat="1" ht="12.75" x14ac:dyDescent="0.2">
      <c r="A87" s="21">
        <f>IF(ISBLANK(F87),"",COUNTA($F$6:F87))</f>
        <v>82</v>
      </c>
      <c r="B87" s="37" t="s">
        <v>60</v>
      </c>
      <c r="C87" s="37" t="s">
        <v>61</v>
      </c>
      <c r="D87" s="22"/>
      <c r="E87" s="23" t="s">
        <v>65</v>
      </c>
      <c r="F87" s="36">
        <v>46224</v>
      </c>
      <c r="G87" s="24" t="s">
        <v>59</v>
      </c>
      <c r="H87" s="24">
        <v>58</v>
      </c>
      <c r="I87" s="24">
        <v>0</v>
      </c>
      <c r="J87" s="24" t="s">
        <v>67</v>
      </c>
      <c r="K87" s="25">
        <v>162011659</v>
      </c>
      <c r="L87" s="26">
        <v>46225</v>
      </c>
      <c r="M87" s="38">
        <v>46227</v>
      </c>
      <c r="N87" s="52">
        <v>16430</v>
      </c>
      <c r="O87" s="27"/>
      <c r="P87" s="27"/>
      <c r="Q87" s="27"/>
      <c r="R87" s="46">
        <v>5226.0600000000004</v>
      </c>
      <c r="S87" s="46">
        <v>1222.6600000000003</v>
      </c>
      <c r="T87" s="46">
        <f t="shared" si="59"/>
        <v>4003.4</v>
      </c>
      <c r="U87" s="46">
        <v>4014.6</v>
      </c>
      <c r="V87" s="46"/>
      <c r="W87" s="46"/>
      <c r="X87" s="46">
        <v>4037.2</v>
      </c>
      <c r="Y87" s="46"/>
      <c r="Z87" s="46">
        <f t="shared" si="50"/>
        <v>-33.799999999999727</v>
      </c>
      <c r="AA87" s="39">
        <f t="shared" si="51"/>
        <v>-8.4428235999399835E-3</v>
      </c>
      <c r="AB87" s="73">
        <v>4044.25</v>
      </c>
      <c r="AC87" s="73"/>
      <c r="AD87" s="73"/>
      <c r="AE87" s="39"/>
      <c r="AF87" s="74"/>
      <c r="AG87" s="74"/>
      <c r="AH87" s="75"/>
      <c r="AI87" s="75">
        <f t="shared" si="60"/>
        <v>0</v>
      </c>
      <c r="AJ87" s="32"/>
      <c r="AK87" s="32"/>
      <c r="AL87" s="32"/>
      <c r="AM87" s="33"/>
      <c r="AN87" s="33"/>
      <c r="AO87" s="33"/>
      <c r="AP87" s="34">
        <f t="shared" si="61"/>
        <v>0</v>
      </c>
      <c r="AQ87" s="32">
        <f t="shared" si="62"/>
        <v>0</v>
      </c>
      <c r="AR87" s="32">
        <f t="shared" si="63"/>
        <v>0</v>
      </c>
      <c r="AS87" s="32"/>
      <c r="AT87" s="32"/>
      <c r="AU87" s="32"/>
      <c r="AV87" s="32"/>
      <c r="AW87" s="32"/>
      <c r="AX87" s="32"/>
      <c r="AY87" s="32"/>
      <c r="AZ87" s="35"/>
      <c r="BB87" s="45">
        <f t="shared" si="52"/>
        <v>4044.25</v>
      </c>
      <c r="BC87" s="45">
        <f t="shared" si="53"/>
        <v>4037.2</v>
      </c>
      <c r="BD87" s="45"/>
      <c r="BE87" s="45">
        <f t="shared" si="64"/>
        <v>7.0500000000001819</v>
      </c>
      <c r="BF87" s="39">
        <f t="shared" si="65"/>
        <v>1.7432156765779024E-3</v>
      </c>
    </row>
    <row r="88" spans="1:58" s="20" customFormat="1" ht="12.75" x14ac:dyDescent="0.2">
      <c r="A88" s="21">
        <f>IF(ISBLANK(F88),"",COUNTA($F$6:F88))</f>
        <v>83</v>
      </c>
      <c r="B88" s="37" t="s">
        <v>60</v>
      </c>
      <c r="C88" s="37" t="s">
        <v>61</v>
      </c>
      <c r="D88" s="22"/>
      <c r="E88" s="23" t="s">
        <v>64</v>
      </c>
      <c r="F88" s="36">
        <v>46225</v>
      </c>
      <c r="G88" s="24" t="s">
        <v>59</v>
      </c>
      <c r="H88" s="24">
        <v>58</v>
      </c>
      <c r="I88" s="24">
        <v>0</v>
      </c>
      <c r="J88" s="24" t="s">
        <v>71</v>
      </c>
      <c r="K88" s="25">
        <v>162004342</v>
      </c>
      <c r="L88" s="26">
        <v>46225</v>
      </c>
      <c r="M88" s="38">
        <v>46226</v>
      </c>
      <c r="N88" s="52">
        <v>16428</v>
      </c>
      <c r="O88" s="27"/>
      <c r="P88" s="27"/>
      <c r="Q88" s="27"/>
      <c r="R88" s="46">
        <v>5178.93</v>
      </c>
      <c r="S88" s="46">
        <v>1217.6300000000001</v>
      </c>
      <c r="T88" s="46">
        <f t="shared" si="59"/>
        <v>3961.3</v>
      </c>
      <c r="U88" s="46">
        <v>3982.8</v>
      </c>
      <c r="V88" s="46"/>
      <c r="W88" s="46"/>
      <c r="X88" s="46">
        <v>3885.4</v>
      </c>
      <c r="Y88" s="46"/>
      <c r="Z88" s="46">
        <f t="shared" si="50"/>
        <v>75.900000000000091</v>
      </c>
      <c r="AA88" s="39">
        <f t="shared" si="51"/>
        <v>1.9160376644031023E-2</v>
      </c>
      <c r="AB88" s="73">
        <v>3961.25</v>
      </c>
      <c r="AC88" s="73"/>
      <c r="AD88" s="73"/>
      <c r="AE88" s="39"/>
      <c r="AF88" s="74"/>
      <c r="AG88" s="74"/>
      <c r="AH88" s="75"/>
      <c r="AI88" s="75">
        <f t="shared" si="60"/>
        <v>0</v>
      </c>
      <c r="AJ88" s="32"/>
      <c r="AK88" s="32"/>
      <c r="AL88" s="32"/>
      <c r="AM88" s="33"/>
      <c r="AN88" s="33"/>
      <c r="AO88" s="33"/>
      <c r="AP88" s="34">
        <f t="shared" si="61"/>
        <v>0</v>
      </c>
      <c r="AQ88" s="32">
        <f t="shared" si="62"/>
        <v>0</v>
      </c>
      <c r="AR88" s="32">
        <f t="shared" si="63"/>
        <v>0</v>
      </c>
      <c r="AS88" s="32"/>
      <c r="AT88" s="32"/>
      <c r="AU88" s="32"/>
      <c r="AV88" s="32"/>
      <c r="AW88" s="32"/>
      <c r="AX88" s="32"/>
      <c r="AY88" s="32"/>
      <c r="AZ88" s="35"/>
      <c r="BB88" s="45">
        <f t="shared" si="52"/>
        <v>3961.25</v>
      </c>
      <c r="BC88" s="45">
        <f t="shared" si="53"/>
        <v>3885.4</v>
      </c>
      <c r="BD88" s="45"/>
      <c r="BE88" s="45">
        <f t="shared" si="64"/>
        <v>75.849999999999909</v>
      </c>
      <c r="BF88" s="39">
        <f t="shared" si="65"/>
        <v>1.914799621331648E-2</v>
      </c>
    </row>
    <row r="89" spans="1:58" s="20" customFormat="1" ht="12.75" x14ac:dyDescent="0.2">
      <c r="A89" s="21">
        <f>IF(ISBLANK(F89),"",COUNTA($F$6:F89))</f>
        <v>84</v>
      </c>
      <c r="B89" s="37" t="s">
        <v>60</v>
      </c>
      <c r="C89" s="37" t="s">
        <v>61</v>
      </c>
      <c r="D89" s="22"/>
      <c r="E89" s="23" t="s">
        <v>62</v>
      </c>
      <c r="F89" s="36">
        <v>46225</v>
      </c>
      <c r="G89" s="24" t="s">
        <v>69</v>
      </c>
      <c r="H89" s="24">
        <v>59</v>
      </c>
      <c r="I89" s="24">
        <v>0</v>
      </c>
      <c r="J89" s="24" t="s">
        <v>62</v>
      </c>
      <c r="K89" s="25">
        <v>162008491</v>
      </c>
      <c r="L89" s="26">
        <v>46225</v>
      </c>
      <c r="M89" s="38">
        <v>46227</v>
      </c>
      <c r="N89" s="52">
        <v>16431</v>
      </c>
      <c r="O89" s="27"/>
      <c r="P89" s="27"/>
      <c r="Q89" s="27"/>
      <c r="R89" s="46">
        <v>5276.15</v>
      </c>
      <c r="S89" s="46">
        <v>1171.1499999999996</v>
      </c>
      <c r="T89" s="46">
        <f t="shared" si="59"/>
        <v>4105</v>
      </c>
      <c r="U89" s="46">
        <v>4118.2</v>
      </c>
      <c r="V89" s="46"/>
      <c r="W89" s="46"/>
      <c r="X89" s="46">
        <v>4173.2</v>
      </c>
      <c r="Y89" s="46"/>
      <c r="Z89" s="46">
        <f t="shared" si="50"/>
        <v>-68.199999999999818</v>
      </c>
      <c r="AA89" s="39">
        <f t="shared" si="51"/>
        <v>-1.6613885505481076E-2</v>
      </c>
      <c r="AB89" s="73">
        <v>4105</v>
      </c>
      <c r="AC89" s="73"/>
      <c r="AD89" s="73"/>
      <c r="AE89" s="39"/>
      <c r="AF89" s="74"/>
      <c r="AG89" s="74"/>
      <c r="AH89" s="75"/>
      <c r="AI89" s="75">
        <f t="shared" si="60"/>
        <v>0</v>
      </c>
      <c r="AJ89" s="32"/>
      <c r="AK89" s="32"/>
      <c r="AL89" s="32"/>
      <c r="AM89" s="33"/>
      <c r="AN89" s="33"/>
      <c r="AO89" s="33"/>
      <c r="AP89" s="34">
        <f t="shared" si="61"/>
        <v>0</v>
      </c>
      <c r="AQ89" s="32">
        <f t="shared" si="62"/>
        <v>0</v>
      </c>
      <c r="AR89" s="32">
        <f t="shared" si="63"/>
        <v>0</v>
      </c>
      <c r="AS89" s="32"/>
      <c r="AT89" s="32"/>
      <c r="AU89" s="32"/>
      <c r="AV89" s="32"/>
      <c r="AW89" s="32"/>
      <c r="AX89" s="32"/>
      <c r="AY89" s="32"/>
      <c r="AZ89" s="35"/>
      <c r="BB89" s="45">
        <f t="shared" si="52"/>
        <v>4105</v>
      </c>
      <c r="BC89" s="45">
        <f t="shared" si="53"/>
        <v>4173.2</v>
      </c>
      <c r="BD89" s="45"/>
      <c r="BE89" s="45">
        <f t="shared" si="64"/>
        <v>-68.199999999999818</v>
      </c>
      <c r="BF89" s="39">
        <f t="shared" si="65"/>
        <v>-1.6613885505481076E-2</v>
      </c>
    </row>
    <row r="90" spans="1:58" s="20" customFormat="1" ht="12.75" x14ac:dyDescent="0.2">
      <c r="A90" s="21">
        <f>IF(ISBLANK(F90),"",COUNTA($F$6:F90))</f>
        <v>85</v>
      </c>
      <c r="B90" s="37" t="s">
        <v>60</v>
      </c>
      <c r="C90" s="37" t="s">
        <v>61</v>
      </c>
      <c r="D90" s="22"/>
      <c r="E90" s="23" t="s">
        <v>63</v>
      </c>
      <c r="F90" s="36">
        <v>46225</v>
      </c>
      <c r="G90" s="24" t="s">
        <v>69</v>
      </c>
      <c r="H90" s="24">
        <v>59</v>
      </c>
      <c r="I90" s="24">
        <v>0</v>
      </c>
      <c r="J90" s="24" t="s">
        <v>63</v>
      </c>
      <c r="K90" s="25">
        <v>162006337</v>
      </c>
      <c r="L90" s="26">
        <v>46225</v>
      </c>
      <c r="M90" s="38">
        <v>46227</v>
      </c>
      <c r="N90" s="52">
        <v>16432</v>
      </c>
      <c r="O90" s="27"/>
      <c r="P90" s="27"/>
      <c r="Q90" s="27"/>
      <c r="R90" s="46">
        <v>5263.25</v>
      </c>
      <c r="S90" s="46">
        <v>1171.1500000000001</v>
      </c>
      <c r="T90" s="46">
        <f t="shared" si="54"/>
        <v>4092.1</v>
      </c>
      <c r="U90" s="46">
        <v>4112.8</v>
      </c>
      <c r="V90" s="46"/>
      <c r="W90" s="46"/>
      <c r="X90" s="46">
        <v>4045.8</v>
      </c>
      <c r="Y90" s="46"/>
      <c r="Z90" s="46">
        <f t="shared" si="50"/>
        <v>46.299999999999727</v>
      </c>
      <c r="AA90" s="39">
        <f t="shared" si="51"/>
        <v>1.1314484005767143E-2</v>
      </c>
      <c r="AB90" s="73">
        <v>4092.1</v>
      </c>
      <c r="AC90" s="73"/>
      <c r="AD90" s="73"/>
      <c r="AE90" s="39"/>
      <c r="AF90" s="74"/>
      <c r="AG90" s="74"/>
      <c r="AH90" s="75"/>
      <c r="AI90" s="75">
        <f t="shared" si="55"/>
        <v>0</v>
      </c>
      <c r="AJ90" s="32"/>
      <c r="AK90" s="32"/>
      <c r="AL90" s="32"/>
      <c r="AM90" s="33"/>
      <c r="AN90" s="33"/>
      <c r="AO90" s="33"/>
      <c r="AP90" s="34">
        <f t="shared" si="56"/>
        <v>0</v>
      </c>
      <c r="AQ90" s="32">
        <f t="shared" si="57"/>
        <v>0</v>
      </c>
      <c r="AR90" s="32">
        <f t="shared" si="58"/>
        <v>0</v>
      </c>
      <c r="AS90" s="32"/>
      <c r="AT90" s="32"/>
      <c r="AU90" s="32"/>
      <c r="AV90" s="32"/>
      <c r="AW90" s="32"/>
      <c r="AX90" s="32"/>
      <c r="AY90" s="32"/>
      <c r="AZ90" s="35"/>
      <c r="BB90" s="45">
        <f t="shared" si="52"/>
        <v>4092.1</v>
      </c>
      <c r="BC90" s="45">
        <f t="shared" si="53"/>
        <v>4045.8</v>
      </c>
      <c r="BD90" s="45"/>
      <c r="BE90" s="45">
        <f t="shared" si="23"/>
        <v>46.299999999999727</v>
      </c>
      <c r="BF90" s="39">
        <f t="shared" si="24"/>
        <v>1.1314484005767143E-2</v>
      </c>
    </row>
    <row r="91" spans="1:58" s="20" customFormat="1" ht="12.75" x14ac:dyDescent="0.2">
      <c r="A91" s="21">
        <f>IF(ISBLANK(F91),"",COUNTA($F$6:F91))</f>
        <v>86</v>
      </c>
      <c r="B91" s="37" t="s">
        <v>60</v>
      </c>
      <c r="C91" s="37" t="s">
        <v>61</v>
      </c>
      <c r="D91" s="22"/>
      <c r="E91" s="23" t="s">
        <v>65</v>
      </c>
      <c r="F91" s="36">
        <v>46225</v>
      </c>
      <c r="G91" s="24" t="s">
        <v>59</v>
      </c>
      <c r="H91" s="24">
        <v>58</v>
      </c>
      <c r="I91" s="24">
        <v>1</v>
      </c>
      <c r="J91" s="24" t="s">
        <v>67</v>
      </c>
      <c r="K91" s="25">
        <v>162011661</v>
      </c>
      <c r="L91" s="26">
        <v>46225</v>
      </c>
      <c r="M91" s="38">
        <v>46227</v>
      </c>
      <c r="N91" s="52">
        <v>16434</v>
      </c>
      <c r="O91" s="27"/>
      <c r="P91" s="27"/>
      <c r="Q91" s="27"/>
      <c r="R91" s="46">
        <v>5102</v>
      </c>
      <c r="S91" s="46">
        <v>1193.4000000000001</v>
      </c>
      <c r="T91" s="46">
        <f t="shared" si="54"/>
        <v>3908.6</v>
      </c>
      <c r="U91" s="46">
        <v>3950.2</v>
      </c>
      <c r="V91" s="46"/>
      <c r="W91" s="46"/>
      <c r="X91" s="46">
        <v>3945.4</v>
      </c>
      <c r="Y91" s="46"/>
      <c r="Z91" s="46">
        <f t="shared" si="50"/>
        <v>-36.800000000000182</v>
      </c>
      <c r="AA91" s="39">
        <f t="shared" si="51"/>
        <v>-9.415135854270118E-3</v>
      </c>
      <c r="AB91" s="73">
        <v>3910.49</v>
      </c>
      <c r="AC91" s="73"/>
      <c r="AD91" s="73"/>
      <c r="AE91" s="39"/>
      <c r="AF91" s="74"/>
      <c r="AG91" s="74"/>
      <c r="AH91" s="75"/>
      <c r="AI91" s="75">
        <f t="shared" si="55"/>
        <v>0</v>
      </c>
      <c r="AJ91" s="32"/>
      <c r="AK91" s="32"/>
      <c r="AL91" s="32"/>
      <c r="AM91" s="33"/>
      <c r="AN91" s="33"/>
      <c r="AO91" s="33"/>
      <c r="AP91" s="34">
        <f t="shared" si="56"/>
        <v>0</v>
      </c>
      <c r="AQ91" s="32">
        <f t="shared" si="57"/>
        <v>0</v>
      </c>
      <c r="AR91" s="32">
        <f t="shared" si="58"/>
        <v>0</v>
      </c>
      <c r="AS91" s="32"/>
      <c r="AT91" s="32"/>
      <c r="AU91" s="32"/>
      <c r="AV91" s="32"/>
      <c r="AW91" s="32"/>
      <c r="AX91" s="32"/>
      <c r="AY91" s="32"/>
      <c r="AZ91" s="35"/>
      <c r="BB91" s="45">
        <f t="shared" si="52"/>
        <v>3910.49</v>
      </c>
      <c r="BC91" s="45">
        <f t="shared" si="53"/>
        <v>3945.4</v>
      </c>
      <c r="BD91" s="45"/>
      <c r="BE91" s="45">
        <f t="shared" si="23"/>
        <v>-34.910000000000309</v>
      </c>
      <c r="BF91" s="39">
        <f t="shared" si="24"/>
        <v>-8.927269984068573E-3</v>
      </c>
    </row>
    <row r="92" spans="1:58" s="20" customFormat="1" ht="12.75" x14ac:dyDescent="0.2">
      <c r="A92" s="21">
        <f>IF(ISBLANK(F92),"",COUNTA($F$6:F92))</f>
        <v>87</v>
      </c>
      <c r="B92" s="37" t="s">
        <v>60</v>
      </c>
      <c r="C92" s="37" t="s">
        <v>61</v>
      </c>
      <c r="D92" s="22"/>
      <c r="E92" s="23" t="s">
        <v>64</v>
      </c>
      <c r="F92" s="36">
        <v>46225</v>
      </c>
      <c r="G92" s="24" t="s">
        <v>59</v>
      </c>
      <c r="H92" s="24">
        <v>59</v>
      </c>
      <c r="I92" s="24">
        <v>0</v>
      </c>
      <c r="J92" s="24" t="s">
        <v>64</v>
      </c>
      <c r="K92" s="25">
        <v>162004343</v>
      </c>
      <c r="L92" s="26">
        <v>46226</v>
      </c>
      <c r="M92" s="38">
        <v>46227</v>
      </c>
      <c r="N92" s="52">
        <v>16433</v>
      </c>
      <c r="O92" s="27"/>
      <c r="P92" s="27"/>
      <c r="Q92" s="27"/>
      <c r="R92" s="46">
        <v>5257.98</v>
      </c>
      <c r="S92" s="46">
        <v>1250.8799999999997</v>
      </c>
      <c r="T92" s="46">
        <f t="shared" si="54"/>
        <v>4007.1</v>
      </c>
      <c r="U92" s="46">
        <v>4039</v>
      </c>
      <c r="V92" s="46"/>
      <c r="W92" s="46"/>
      <c r="X92" s="46">
        <v>3942.6</v>
      </c>
      <c r="Y92" s="46"/>
      <c r="Z92" s="46">
        <f t="shared" si="50"/>
        <v>64.5</v>
      </c>
      <c r="AA92" s="39">
        <f t="shared" si="51"/>
        <v>1.609642883881111E-2</v>
      </c>
      <c r="AB92" s="73">
        <v>4007.1</v>
      </c>
      <c r="AC92" s="73"/>
      <c r="AD92" s="73"/>
      <c r="AE92" s="39"/>
      <c r="AF92" s="74"/>
      <c r="AG92" s="74"/>
      <c r="AH92" s="75"/>
      <c r="AI92" s="75">
        <f t="shared" si="55"/>
        <v>0</v>
      </c>
      <c r="AJ92" s="32"/>
      <c r="AK92" s="32"/>
      <c r="AL92" s="32"/>
      <c r="AM92" s="33"/>
      <c r="AN92" s="33"/>
      <c r="AO92" s="33"/>
      <c r="AP92" s="34">
        <f t="shared" si="56"/>
        <v>0</v>
      </c>
      <c r="AQ92" s="32">
        <f t="shared" si="57"/>
        <v>0</v>
      </c>
      <c r="AR92" s="32">
        <f t="shared" si="58"/>
        <v>0</v>
      </c>
      <c r="AS92" s="32"/>
      <c r="AT92" s="32"/>
      <c r="AU92" s="32"/>
      <c r="AV92" s="32"/>
      <c r="AW92" s="32"/>
      <c r="AX92" s="32"/>
      <c r="AY92" s="32"/>
      <c r="AZ92" s="35"/>
      <c r="BB92" s="45">
        <f t="shared" si="52"/>
        <v>4007.1</v>
      </c>
      <c r="BC92" s="45">
        <f t="shared" si="53"/>
        <v>3942.6</v>
      </c>
      <c r="BD92" s="45"/>
      <c r="BE92" s="45">
        <f t="shared" si="23"/>
        <v>64.5</v>
      </c>
      <c r="BF92" s="39">
        <f t="shared" si="24"/>
        <v>1.609642883881111E-2</v>
      </c>
    </row>
    <row r="93" spans="1:58" s="20" customFormat="1" ht="12.75" x14ac:dyDescent="0.2">
      <c r="A93" s="21">
        <f>IF(ISBLANK(F93),"",COUNTA($F$6:F93))</f>
        <v>88</v>
      </c>
      <c r="B93" s="37" t="s">
        <v>60</v>
      </c>
      <c r="C93" s="37" t="s">
        <v>61</v>
      </c>
      <c r="D93" s="22"/>
      <c r="E93" s="23" t="s">
        <v>65</v>
      </c>
      <c r="F93" s="36">
        <v>46226</v>
      </c>
      <c r="G93" s="24" t="s">
        <v>59</v>
      </c>
      <c r="H93" s="24">
        <v>58</v>
      </c>
      <c r="I93" s="24">
        <v>0</v>
      </c>
      <c r="J93" s="24" t="s">
        <v>67</v>
      </c>
      <c r="K93" s="25">
        <v>162011663</v>
      </c>
      <c r="L93" s="26">
        <v>46226</v>
      </c>
      <c r="M93" s="38">
        <v>46228</v>
      </c>
      <c r="N93" s="52">
        <v>16440</v>
      </c>
      <c r="O93" s="27"/>
      <c r="P93" s="27"/>
      <c r="Q93" s="27"/>
      <c r="R93" s="46">
        <v>5196.8</v>
      </c>
      <c r="S93" s="46">
        <v>1225.2000000000003</v>
      </c>
      <c r="T93" s="46">
        <f t="shared" si="54"/>
        <v>3971.6</v>
      </c>
      <c r="U93" s="46">
        <v>3999.2</v>
      </c>
      <c r="V93" s="46"/>
      <c r="W93" s="46"/>
      <c r="X93" s="46">
        <v>3956.4</v>
      </c>
      <c r="Y93" s="46"/>
      <c r="Z93" s="46">
        <f t="shared" si="50"/>
        <v>15.199999999999818</v>
      </c>
      <c r="AA93" s="39">
        <f t="shared" si="51"/>
        <v>3.8271729277872439E-3</v>
      </c>
      <c r="AB93" s="73">
        <v>3975.44</v>
      </c>
      <c r="AC93" s="73"/>
      <c r="AD93" s="73"/>
      <c r="AE93" s="39"/>
      <c r="AF93" s="74"/>
      <c r="AG93" s="74"/>
      <c r="AH93" s="75"/>
      <c r="AI93" s="75">
        <f t="shared" si="55"/>
        <v>0</v>
      </c>
      <c r="AJ93" s="32"/>
      <c r="AK93" s="32"/>
      <c r="AL93" s="32"/>
      <c r="AM93" s="33"/>
      <c r="AN93" s="33"/>
      <c r="AO93" s="33"/>
      <c r="AP93" s="34">
        <f t="shared" si="56"/>
        <v>0</v>
      </c>
      <c r="AQ93" s="32">
        <f t="shared" si="57"/>
        <v>0</v>
      </c>
      <c r="AR93" s="32">
        <f t="shared" si="58"/>
        <v>0</v>
      </c>
      <c r="AS93" s="32"/>
      <c r="AT93" s="32"/>
      <c r="AU93" s="32"/>
      <c r="AV93" s="32"/>
      <c r="AW93" s="32"/>
      <c r="AX93" s="32"/>
      <c r="AY93" s="32"/>
      <c r="AZ93" s="35"/>
      <c r="BB93" s="45">
        <f t="shared" si="52"/>
        <v>3975.44</v>
      </c>
      <c r="BC93" s="45">
        <f t="shared" si="53"/>
        <v>3956.4</v>
      </c>
      <c r="BD93" s="45"/>
      <c r="BE93" s="45">
        <f t="shared" si="23"/>
        <v>19.039999999999964</v>
      </c>
      <c r="BF93" s="39">
        <f t="shared" si="24"/>
        <v>4.7894069587265716E-3</v>
      </c>
    </row>
    <row r="94" spans="1:58" s="20" customFormat="1" ht="12.75" x14ac:dyDescent="0.2">
      <c r="A94" s="21">
        <f>IF(ISBLANK(F94),"",COUNTA($F$6:F94))</f>
        <v>89</v>
      </c>
      <c r="B94" s="37" t="s">
        <v>60</v>
      </c>
      <c r="C94" s="37" t="s">
        <v>61</v>
      </c>
      <c r="D94" s="22"/>
      <c r="E94" s="23" t="s">
        <v>64</v>
      </c>
      <c r="F94" s="36">
        <v>46226</v>
      </c>
      <c r="G94" s="24" t="s">
        <v>59</v>
      </c>
      <c r="H94" s="24">
        <v>58</v>
      </c>
      <c r="I94" s="24">
        <v>2</v>
      </c>
      <c r="J94" s="24" t="s">
        <v>64</v>
      </c>
      <c r="K94" s="25">
        <v>162004344</v>
      </c>
      <c r="L94" s="26">
        <v>46226</v>
      </c>
      <c r="M94" s="38">
        <v>46228</v>
      </c>
      <c r="N94" s="52">
        <v>16438</v>
      </c>
      <c r="O94" s="27"/>
      <c r="P94" s="27"/>
      <c r="Q94" s="27"/>
      <c r="R94" s="46">
        <v>4990.24</v>
      </c>
      <c r="S94" s="46">
        <v>1180.6399999999999</v>
      </c>
      <c r="T94" s="46">
        <f t="shared" si="54"/>
        <v>3809.6</v>
      </c>
      <c r="U94" s="46">
        <v>3834.4</v>
      </c>
      <c r="V94" s="46"/>
      <c r="W94" s="46"/>
      <c r="X94" s="46">
        <v>3771.2</v>
      </c>
      <c r="Y94" s="46"/>
      <c r="Z94" s="46">
        <f t="shared" si="50"/>
        <v>38.400000000000091</v>
      </c>
      <c r="AA94" s="39">
        <f t="shared" si="51"/>
        <v>1.0079798404031944E-2</v>
      </c>
      <c r="AB94" s="73">
        <v>3809.6</v>
      </c>
      <c r="AC94" s="73"/>
      <c r="AD94" s="73"/>
      <c r="AE94" s="39"/>
      <c r="AF94" s="74"/>
      <c r="AG94" s="74"/>
      <c r="AH94" s="75"/>
      <c r="AI94" s="75">
        <f t="shared" si="55"/>
        <v>0</v>
      </c>
      <c r="AJ94" s="32"/>
      <c r="AK94" s="32"/>
      <c r="AL94" s="32"/>
      <c r="AM94" s="33"/>
      <c r="AN94" s="33"/>
      <c r="AO94" s="33"/>
      <c r="AP94" s="34">
        <f t="shared" si="56"/>
        <v>0</v>
      </c>
      <c r="AQ94" s="32">
        <f t="shared" si="57"/>
        <v>0</v>
      </c>
      <c r="AR94" s="32">
        <f t="shared" si="58"/>
        <v>0</v>
      </c>
      <c r="AS94" s="32"/>
      <c r="AT94" s="32"/>
      <c r="AU94" s="32"/>
      <c r="AV94" s="32"/>
      <c r="AW94" s="32"/>
      <c r="AX94" s="32"/>
      <c r="AY94" s="32"/>
      <c r="AZ94" s="35"/>
      <c r="BB94" s="45">
        <f t="shared" si="52"/>
        <v>3809.6</v>
      </c>
      <c r="BC94" s="45">
        <f t="shared" si="53"/>
        <v>3771.2</v>
      </c>
      <c r="BD94" s="45"/>
      <c r="BE94" s="45">
        <f t="shared" si="23"/>
        <v>38.400000000000091</v>
      </c>
      <c r="BF94" s="39">
        <f t="shared" si="24"/>
        <v>1.0079798404031944E-2</v>
      </c>
    </row>
    <row r="95" spans="1:58" s="20" customFormat="1" ht="12.75" x14ac:dyDescent="0.2">
      <c r="A95" s="21">
        <f>IF(ISBLANK(F95),"",COUNTA($F$6:F95))</f>
        <v>90</v>
      </c>
      <c r="B95" s="37" t="s">
        <v>60</v>
      </c>
      <c r="C95" s="37" t="s">
        <v>61</v>
      </c>
      <c r="D95" s="22"/>
      <c r="E95" s="23" t="s">
        <v>63</v>
      </c>
      <c r="F95" s="36">
        <v>46226</v>
      </c>
      <c r="G95" s="24" t="s">
        <v>69</v>
      </c>
      <c r="H95" s="24">
        <v>56</v>
      </c>
      <c r="I95" s="24">
        <v>0</v>
      </c>
      <c r="J95" s="24" t="s">
        <v>63</v>
      </c>
      <c r="K95" s="25">
        <v>162006341</v>
      </c>
      <c r="L95" s="26">
        <v>46226</v>
      </c>
      <c r="M95" s="38">
        <v>46228</v>
      </c>
      <c r="N95" s="52">
        <v>16437</v>
      </c>
      <c r="O95" s="27"/>
      <c r="P95" s="27"/>
      <c r="Q95" s="27"/>
      <c r="R95" s="46">
        <v>4995.8999999999996</v>
      </c>
      <c r="S95" s="46">
        <v>1111.5999999999995</v>
      </c>
      <c r="T95" s="46">
        <f t="shared" si="54"/>
        <v>3884.3</v>
      </c>
      <c r="U95" s="46">
        <v>3904.8</v>
      </c>
      <c r="V95" s="46"/>
      <c r="W95" s="46"/>
      <c r="X95" s="46">
        <v>3790.2</v>
      </c>
      <c r="Y95" s="46"/>
      <c r="Z95" s="46">
        <f t="shared" si="50"/>
        <v>94.100000000000364</v>
      </c>
      <c r="AA95" s="39">
        <f t="shared" si="51"/>
        <v>2.422572921761974E-2</v>
      </c>
      <c r="AB95" s="73">
        <v>3884.3</v>
      </c>
      <c r="AC95" s="73"/>
      <c r="AD95" s="73"/>
      <c r="AE95" s="39"/>
      <c r="AF95" s="74"/>
      <c r="AG95" s="74"/>
      <c r="AH95" s="75"/>
      <c r="AI95" s="75">
        <f t="shared" si="55"/>
        <v>0</v>
      </c>
      <c r="AJ95" s="32"/>
      <c r="AK95" s="32"/>
      <c r="AL95" s="32"/>
      <c r="AM95" s="33"/>
      <c r="AN95" s="33"/>
      <c r="AO95" s="33"/>
      <c r="AP95" s="34">
        <f t="shared" si="56"/>
        <v>0</v>
      </c>
      <c r="AQ95" s="32">
        <f t="shared" si="57"/>
        <v>0</v>
      </c>
      <c r="AR95" s="32">
        <f t="shared" si="58"/>
        <v>0</v>
      </c>
      <c r="AS95" s="32"/>
      <c r="AT95" s="32"/>
      <c r="AU95" s="32"/>
      <c r="AV95" s="32"/>
      <c r="AW95" s="32"/>
      <c r="AX95" s="32"/>
      <c r="AY95" s="32"/>
      <c r="AZ95" s="35"/>
      <c r="BB95" s="45">
        <f t="shared" si="52"/>
        <v>3884.3</v>
      </c>
      <c r="BC95" s="45">
        <f t="shared" si="53"/>
        <v>3790.2</v>
      </c>
      <c r="BD95" s="45"/>
      <c r="BE95" s="45">
        <f t="shared" si="23"/>
        <v>94.100000000000364</v>
      </c>
      <c r="BF95" s="39">
        <f t="shared" si="24"/>
        <v>2.422572921761974E-2</v>
      </c>
    </row>
    <row r="96" spans="1:58" s="20" customFormat="1" ht="12.75" x14ac:dyDescent="0.2">
      <c r="A96" s="21">
        <f>IF(ISBLANK(F96),"",COUNTA($F$6:F96))</f>
        <v>91</v>
      </c>
      <c r="B96" s="37" t="s">
        <v>60</v>
      </c>
      <c r="C96" s="37" t="s">
        <v>61</v>
      </c>
      <c r="D96" s="22"/>
      <c r="E96" s="23" t="s">
        <v>64</v>
      </c>
      <c r="F96" s="36">
        <v>46226</v>
      </c>
      <c r="G96" s="24" t="s">
        <v>59</v>
      </c>
      <c r="H96" s="24">
        <v>59</v>
      </c>
      <c r="I96" s="24">
        <v>0</v>
      </c>
      <c r="J96" s="24" t="s">
        <v>71</v>
      </c>
      <c r="K96" s="25">
        <v>162004345</v>
      </c>
      <c r="L96" s="26">
        <v>46226</v>
      </c>
      <c r="M96" s="38">
        <v>46228</v>
      </c>
      <c r="N96" s="52">
        <v>16441</v>
      </c>
      <c r="O96" s="27"/>
      <c r="P96" s="27"/>
      <c r="Q96" s="27"/>
      <c r="R96" s="46">
        <v>5273.31</v>
      </c>
      <c r="S96" s="46">
        <v>1233.4100000000003</v>
      </c>
      <c r="T96" s="46">
        <f t="shared" si="54"/>
        <v>4039.9</v>
      </c>
      <c r="U96" s="46">
        <v>4056.6</v>
      </c>
      <c r="V96" s="46"/>
      <c r="W96" s="46"/>
      <c r="X96" s="46">
        <v>3940</v>
      </c>
      <c r="Y96" s="46"/>
      <c r="Z96" s="46">
        <f t="shared" si="50"/>
        <v>99.900000000000091</v>
      </c>
      <c r="AA96" s="39">
        <f t="shared" si="51"/>
        <v>2.4728334859773778E-2</v>
      </c>
      <c r="AB96" s="73">
        <v>4039.85</v>
      </c>
      <c r="AC96" s="73"/>
      <c r="AD96" s="73"/>
      <c r="AE96" s="39"/>
      <c r="AF96" s="74"/>
      <c r="AG96" s="74"/>
      <c r="AH96" s="75"/>
      <c r="AI96" s="75">
        <f t="shared" si="55"/>
        <v>0</v>
      </c>
      <c r="AJ96" s="32"/>
      <c r="AK96" s="32"/>
      <c r="AL96" s="32"/>
      <c r="AM96" s="33"/>
      <c r="AN96" s="33"/>
      <c r="AO96" s="33"/>
      <c r="AP96" s="34">
        <f t="shared" si="56"/>
        <v>0</v>
      </c>
      <c r="AQ96" s="32">
        <f t="shared" si="57"/>
        <v>0</v>
      </c>
      <c r="AR96" s="32">
        <f t="shared" si="58"/>
        <v>0</v>
      </c>
      <c r="AS96" s="32"/>
      <c r="AT96" s="32"/>
      <c r="AU96" s="32"/>
      <c r="AV96" s="32"/>
      <c r="AW96" s="32"/>
      <c r="AX96" s="32"/>
      <c r="AY96" s="32"/>
      <c r="AZ96" s="35"/>
      <c r="BB96" s="45">
        <f t="shared" si="52"/>
        <v>4039.85</v>
      </c>
      <c r="BC96" s="45">
        <f t="shared" si="53"/>
        <v>3940</v>
      </c>
      <c r="BD96" s="45"/>
      <c r="BE96" s="45">
        <f t="shared" si="23"/>
        <v>99.849999999999909</v>
      </c>
      <c r="BF96" s="39">
        <f t="shared" si="24"/>
        <v>2.4716264217730835E-2</v>
      </c>
    </row>
    <row r="97" spans="1:58" s="20" customFormat="1" ht="12.75" x14ac:dyDescent="0.2">
      <c r="A97" s="21">
        <f>IF(ISBLANK(F97),"",COUNTA($F$6:F97))</f>
        <v>92</v>
      </c>
      <c r="B97" s="37" t="s">
        <v>60</v>
      </c>
      <c r="C97" s="37" t="s">
        <v>61</v>
      </c>
      <c r="D97" s="22"/>
      <c r="E97" s="23" t="s">
        <v>64</v>
      </c>
      <c r="F97" s="36">
        <v>46226</v>
      </c>
      <c r="G97" s="24" t="s">
        <v>59</v>
      </c>
      <c r="H97" s="24">
        <v>58</v>
      </c>
      <c r="I97" s="24">
        <v>1</v>
      </c>
      <c r="J97" s="24" t="s">
        <v>64</v>
      </c>
      <c r="K97" s="25">
        <v>162004346</v>
      </c>
      <c r="L97" s="26">
        <v>46227</v>
      </c>
      <c r="M97" s="38">
        <v>46229</v>
      </c>
      <c r="N97" s="52">
        <v>16447</v>
      </c>
      <c r="O97" s="27"/>
      <c r="P97" s="27"/>
      <c r="Q97" s="27"/>
      <c r="R97" s="46">
        <v>5097.0600000000004</v>
      </c>
      <c r="S97" s="46">
        <v>1190.0600000000004</v>
      </c>
      <c r="T97" s="46">
        <f t="shared" si="54"/>
        <v>3907</v>
      </c>
      <c r="U97" s="46">
        <v>3922.6</v>
      </c>
      <c r="V97" s="46"/>
      <c r="W97" s="46"/>
      <c r="X97" s="46">
        <v>3878.6</v>
      </c>
      <c r="Y97" s="46"/>
      <c r="Z97" s="46">
        <f t="shared" si="50"/>
        <v>28.400000000000091</v>
      </c>
      <c r="AA97" s="39">
        <f t="shared" si="51"/>
        <v>7.2690043511645999E-3</v>
      </c>
      <c r="AB97" s="73">
        <v>3906.95</v>
      </c>
      <c r="AC97" s="73"/>
      <c r="AD97" s="73"/>
      <c r="AE97" s="39"/>
      <c r="AF97" s="74"/>
      <c r="AG97" s="74"/>
      <c r="AH97" s="75"/>
      <c r="AI97" s="75">
        <f t="shared" si="55"/>
        <v>0</v>
      </c>
      <c r="AJ97" s="32"/>
      <c r="AK97" s="32"/>
      <c r="AL97" s="32"/>
      <c r="AM97" s="33"/>
      <c r="AN97" s="33"/>
      <c r="AO97" s="33"/>
      <c r="AP97" s="34">
        <f t="shared" si="56"/>
        <v>0</v>
      </c>
      <c r="AQ97" s="32">
        <f t="shared" si="57"/>
        <v>0</v>
      </c>
      <c r="AR97" s="32">
        <f t="shared" si="58"/>
        <v>0</v>
      </c>
      <c r="AS97" s="32"/>
      <c r="AT97" s="32"/>
      <c r="AU97" s="32"/>
      <c r="AV97" s="32"/>
      <c r="AW97" s="32"/>
      <c r="AX97" s="32"/>
      <c r="AY97" s="32"/>
      <c r="AZ97" s="35"/>
      <c r="BB97" s="45">
        <f t="shared" si="52"/>
        <v>3906.95</v>
      </c>
      <c r="BC97" s="45">
        <f t="shared" si="53"/>
        <v>3878.6</v>
      </c>
      <c r="BD97" s="45"/>
      <c r="BE97" s="45">
        <f t="shared" si="23"/>
        <v>28.349999999999909</v>
      </c>
      <c r="BF97" s="39">
        <f t="shared" si="24"/>
        <v>7.2562996710989159E-3</v>
      </c>
    </row>
    <row r="98" spans="1:58" s="20" customFormat="1" ht="12.75" x14ac:dyDescent="0.2">
      <c r="A98" s="21">
        <f>IF(ISBLANK(F98),"",COUNTA($F$6:F98))</f>
        <v>93</v>
      </c>
      <c r="B98" s="37" t="s">
        <v>60</v>
      </c>
      <c r="C98" s="37" t="s">
        <v>61</v>
      </c>
      <c r="D98" s="22"/>
      <c r="E98" s="23" t="s">
        <v>65</v>
      </c>
      <c r="F98" s="36">
        <v>46227</v>
      </c>
      <c r="G98" s="24" t="s">
        <v>69</v>
      </c>
      <c r="H98" s="24">
        <v>59</v>
      </c>
      <c r="I98" s="24">
        <v>2</v>
      </c>
      <c r="J98" s="24" t="s">
        <v>67</v>
      </c>
      <c r="K98" s="25">
        <v>162011664</v>
      </c>
      <c r="L98" s="26">
        <v>46227</v>
      </c>
      <c r="M98" s="38">
        <v>46228</v>
      </c>
      <c r="N98" s="52">
        <v>16442</v>
      </c>
      <c r="O98" s="27"/>
      <c r="P98" s="27"/>
      <c r="Q98" s="27"/>
      <c r="R98" s="46">
        <v>5045.2</v>
      </c>
      <c r="S98" s="46">
        <v>1131.3999999999996</v>
      </c>
      <c r="T98" s="46">
        <f t="shared" si="54"/>
        <v>3913.8</v>
      </c>
      <c r="U98" s="46">
        <v>3994.4</v>
      </c>
      <c r="V98" s="46"/>
      <c r="W98" s="46"/>
      <c r="X98" s="46">
        <v>3969</v>
      </c>
      <c r="Y98" s="46"/>
      <c r="Z98" s="46">
        <f t="shared" si="50"/>
        <v>-55.199999999999818</v>
      </c>
      <c r="AA98" s="39">
        <f t="shared" si="51"/>
        <v>-1.4103939904951662E-2</v>
      </c>
      <c r="AB98" s="73">
        <v>3916.4</v>
      </c>
      <c r="AC98" s="73"/>
      <c r="AD98" s="73"/>
      <c r="AE98" s="39"/>
      <c r="AF98" s="74"/>
      <c r="AG98" s="74"/>
      <c r="AH98" s="75"/>
      <c r="AI98" s="75">
        <f t="shared" si="55"/>
        <v>0</v>
      </c>
      <c r="AJ98" s="32"/>
      <c r="AK98" s="32"/>
      <c r="AL98" s="32"/>
      <c r="AM98" s="33"/>
      <c r="AN98" s="33"/>
      <c r="AO98" s="33"/>
      <c r="AP98" s="34">
        <f t="shared" si="56"/>
        <v>0</v>
      </c>
      <c r="AQ98" s="32">
        <f t="shared" si="57"/>
        <v>0</v>
      </c>
      <c r="AR98" s="32">
        <f t="shared" si="58"/>
        <v>0</v>
      </c>
      <c r="AS98" s="32"/>
      <c r="AT98" s="32"/>
      <c r="AU98" s="32"/>
      <c r="AV98" s="32"/>
      <c r="AW98" s="32"/>
      <c r="AX98" s="32"/>
      <c r="AY98" s="32"/>
      <c r="AZ98" s="35"/>
      <c r="BB98" s="45">
        <f t="shared" si="52"/>
        <v>3916.4</v>
      </c>
      <c r="BC98" s="45">
        <f t="shared" si="53"/>
        <v>3969</v>
      </c>
      <c r="BD98" s="45"/>
      <c r="BE98" s="45">
        <f t="shared" si="23"/>
        <v>-52.599999999999909</v>
      </c>
      <c r="BF98" s="39">
        <f t="shared" si="24"/>
        <v>-1.3430701664794176E-2</v>
      </c>
    </row>
    <row r="99" spans="1:58" s="20" customFormat="1" ht="12.75" x14ac:dyDescent="0.2">
      <c r="A99" s="21">
        <f>IF(ISBLANK(F99),"",COUNTA($F$6:F99))</f>
        <v>94</v>
      </c>
      <c r="B99" s="37" t="s">
        <v>60</v>
      </c>
      <c r="C99" s="37" t="s">
        <v>61</v>
      </c>
      <c r="D99" s="22"/>
      <c r="E99" s="23" t="s">
        <v>63</v>
      </c>
      <c r="F99" s="36">
        <v>46227</v>
      </c>
      <c r="G99" s="24" t="s">
        <v>59</v>
      </c>
      <c r="H99" s="24">
        <v>59</v>
      </c>
      <c r="I99" s="24">
        <v>0</v>
      </c>
      <c r="J99" s="24" t="s">
        <v>63</v>
      </c>
      <c r="K99" s="25">
        <v>162006344</v>
      </c>
      <c r="L99" s="26">
        <v>46227</v>
      </c>
      <c r="M99" s="38">
        <v>46229</v>
      </c>
      <c r="N99" s="52">
        <v>16444</v>
      </c>
      <c r="O99" s="27"/>
      <c r="P99" s="27"/>
      <c r="Q99" s="27"/>
      <c r="R99" s="46">
        <v>5285.55</v>
      </c>
      <c r="S99" s="46">
        <v>1236.4500000000003</v>
      </c>
      <c r="T99" s="46">
        <f t="shared" ref="T99:T115" si="66">+R99-S99</f>
        <v>4049.1</v>
      </c>
      <c r="U99" s="46">
        <v>4058</v>
      </c>
      <c r="V99" s="46"/>
      <c r="W99" s="46"/>
      <c r="X99" s="46">
        <v>3948.6</v>
      </c>
      <c r="Y99" s="46"/>
      <c r="Z99" s="46">
        <f t="shared" si="50"/>
        <v>100.5</v>
      </c>
      <c r="AA99" s="39">
        <f t="shared" si="51"/>
        <v>2.4820330443802326E-2</v>
      </c>
      <c r="AB99" s="73">
        <v>4049.1</v>
      </c>
      <c r="AC99" s="73"/>
      <c r="AD99" s="73"/>
      <c r="AE99" s="39"/>
      <c r="AF99" s="74"/>
      <c r="AG99" s="74"/>
      <c r="AH99" s="75"/>
      <c r="AI99" s="75">
        <f t="shared" ref="AI99:AI115" si="67">+AG99+AH99</f>
        <v>0</v>
      </c>
      <c r="AJ99" s="32"/>
      <c r="AK99" s="32"/>
      <c r="AL99" s="32"/>
      <c r="AM99" s="33"/>
      <c r="AN99" s="33"/>
      <c r="AO99" s="33"/>
      <c r="AP99" s="34">
        <f t="shared" ref="AP99:AP115" si="68">ROUNDUP((AO99-AM99+(AO99&lt;AM99))*24,0)</f>
        <v>0</v>
      </c>
      <c r="AQ99" s="32">
        <f t="shared" ref="AQ99:AQ115" si="69">IF(AP99&gt;5,(AP99-5),0)</f>
        <v>0</v>
      </c>
      <c r="AR99" s="32">
        <f t="shared" ref="AR99:AR115" si="70">+AQ99*8850</f>
        <v>0</v>
      </c>
      <c r="AS99" s="32"/>
      <c r="AT99" s="32"/>
      <c r="AU99" s="32"/>
      <c r="AV99" s="32"/>
      <c r="AW99" s="32"/>
      <c r="AX99" s="32"/>
      <c r="AY99" s="32"/>
      <c r="AZ99" s="35"/>
      <c r="BB99" s="45">
        <f t="shared" si="52"/>
        <v>4049.1</v>
      </c>
      <c r="BC99" s="45">
        <f t="shared" si="53"/>
        <v>3948.6</v>
      </c>
      <c r="BD99" s="45"/>
      <c r="BE99" s="45">
        <f t="shared" ref="BE99:BE115" si="71">+BB99-BC99</f>
        <v>100.5</v>
      </c>
      <c r="BF99" s="39">
        <f t="shared" ref="BF99:BF115" si="72">+BE99/BB99</f>
        <v>2.4820330443802326E-2</v>
      </c>
    </row>
    <row r="100" spans="1:58" s="20" customFormat="1" ht="12.75" x14ac:dyDescent="0.2">
      <c r="A100" s="21">
        <f>IF(ISBLANK(F100),"",COUNTA($F$6:F100))</f>
        <v>95</v>
      </c>
      <c r="B100" s="37" t="s">
        <v>60</v>
      </c>
      <c r="C100" s="37" t="s">
        <v>61</v>
      </c>
      <c r="D100" s="22"/>
      <c r="E100" s="23" t="s">
        <v>64</v>
      </c>
      <c r="F100" s="36">
        <v>46227</v>
      </c>
      <c r="G100" s="24" t="s">
        <v>59</v>
      </c>
      <c r="H100" s="24">
        <v>59</v>
      </c>
      <c r="I100" s="24">
        <v>0</v>
      </c>
      <c r="J100" s="24" t="s">
        <v>64</v>
      </c>
      <c r="K100" s="25">
        <v>162004347</v>
      </c>
      <c r="L100" s="26">
        <v>46227</v>
      </c>
      <c r="M100" s="38">
        <v>46228</v>
      </c>
      <c r="N100" s="52">
        <v>16443</v>
      </c>
      <c r="O100" s="27"/>
      <c r="P100" s="27"/>
      <c r="Q100" s="27"/>
      <c r="R100" s="46">
        <v>5277.98</v>
      </c>
      <c r="S100" s="46">
        <v>1230.3799999999997</v>
      </c>
      <c r="T100" s="46">
        <f t="shared" si="66"/>
        <v>4047.6</v>
      </c>
      <c r="U100" s="46">
        <v>4060.6</v>
      </c>
      <c r="V100" s="46"/>
      <c r="W100" s="46"/>
      <c r="X100" s="46">
        <v>3956.2</v>
      </c>
      <c r="Y100" s="46"/>
      <c r="Z100" s="46">
        <f t="shared" si="50"/>
        <v>91.400000000000091</v>
      </c>
      <c r="AA100" s="39">
        <f t="shared" si="51"/>
        <v>2.258128273544819E-2</v>
      </c>
      <c r="AB100" s="73">
        <v>4047.55</v>
      </c>
      <c r="AC100" s="73"/>
      <c r="AD100" s="73"/>
      <c r="AE100" s="39"/>
      <c r="AF100" s="74"/>
      <c r="AG100" s="74"/>
      <c r="AH100" s="75"/>
      <c r="AI100" s="75">
        <f t="shared" si="67"/>
        <v>0</v>
      </c>
      <c r="AJ100" s="32"/>
      <c r="AK100" s="32"/>
      <c r="AL100" s="32"/>
      <c r="AM100" s="33"/>
      <c r="AN100" s="33"/>
      <c r="AO100" s="33"/>
      <c r="AP100" s="34">
        <f t="shared" si="68"/>
        <v>0</v>
      </c>
      <c r="AQ100" s="32">
        <f t="shared" si="69"/>
        <v>0</v>
      </c>
      <c r="AR100" s="32">
        <f t="shared" si="70"/>
        <v>0</v>
      </c>
      <c r="AS100" s="32"/>
      <c r="AT100" s="32"/>
      <c r="AU100" s="32"/>
      <c r="AV100" s="32"/>
      <c r="AW100" s="32"/>
      <c r="AX100" s="32"/>
      <c r="AY100" s="32"/>
      <c r="AZ100" s="35"/>
      <c r="BB100" s="45">
        <f t="shared" si="52"/>
        <v>4047.55</v>
      </c>
      <c r="BC100" s="45">
        <f t="shared" si="53"/>
        <v>3956.2</v>
      </c>
      <c r="BD100" s="45"/>
      <c r="BE100" s="45">
        <f t="shared" si="71"/>
        <v>91.350000000000364</v>
      </c>
      <c r="BF100" s="39">
        <f t="shared" si="72"/>
        <v>2.2569208533557428E-2</v>
      </c>
    </row>
    <row r="101" spans="1:58" s="20" customFormat="1" ht="12.75" x14ac:dyDescent="0.2">
      <c r="A101" s="21">
        <f>IF(ISBLANK(F101),"",COUNTA($F$6:F101))</f>
        <v>96</v>
      </c>
      <c r="B101" s="37" t="s">
        <v>60</v>
      </c>
      <c r="C101" s="37" t="s">
        <v>61</v>
      </c>
      <c r="D101" s="22"/>
      <c r="E101" s="23" t="s">
        <v>64</v>
      </c>
      <c r="F101" s="36">
        <v>46227</v>
      </c>
      <c r="G101" s="24" t="s">
        <v>59</v>
      </c>
      <c r="H101" s="24">
        <v>58</v>
      </c>
      <c r="I101" s="24">
        <v>6</v>
      </c>
      <c r="J101" s="24" t="s">
        <v>64</v>
      </c>
      <c r="K101" s="25">
        <v>162004348</v>
      </c>
      <c r="L101" s="26">
        <v>46228</v>
      </c>
      <c r="M101" s="38">
        <v>46229</v>
      </c>
      <c r="N101" s="52">
        <v>16445</v>
      </c>
      <c r="O101" s="27"/>
      <c r="P101" s="27"/>
      <c r="Q101" s="27"/>
      <c r="R101" s="46">
        <v>4604.6499999999996</v>
      </c>
      <c r="S101" s="46">
        <v>1127.8499999999995</v>
      </c>
      <c r="T101" s="46">
        <f t="shared" si="66"/>
        <v>3476.8</v>
      </c>
      <c r="U101" s="46">
        <v>3530.4</v>
      </c>
      <c r="V101" s="46"/>
      <c r="W101" s="46"/>
      <c r="X101" s="46">
        <v>3415.8</v>
      </c>
      <c r="Y101" s="46"/>
      <c r="Z101" s="46">
        <f t="shared" si="50"/>
        <v>61</v>
      </c>
      <c r="AA101" s="39">
        <f t="shared" si="51"/>
        <v>1.7544868844914862E-2</v>
      </c>
      <c r="AB101" s="73">
        <v>3476.8</v>
      </c>
      <c r="AC101" s="73"/>
      <c r="AD101" s="73"/>
      <c r="AE101" s="39"/>
      <c r="AF101" s="74"/>
      <c r="AG101" s="74"/>
      <c r="AH101" s="75"/>
      <c r="AI101" s="75">
        <f t="shared" si="67"/>
        <v>0</v>
      </c>
      <c r="AJ101" s="32"/>
      <c r="AK101" s="32"/>
      <c r="AL101" s="32"/>
      <c r="AM101" s="33"/>
      <c r="AN101" s="33"/>
      <c r="AO101" s="33"/>
      <c r="AP101" s="34">
        <f t="shared" si="68"/>
        <v>0</v>
      </c>
      <c r="AQ101" s="32">
        <f t="shared" si="69"/>
        <v>0</v>
      </c>
      <c r="AR101" s="32">
        <f t="shared" si="70"/>
        <v>0</v>
      </c>
      <c r="AS101" s="32"/>
      <c r="AT101" s="32"/>
      <c r="AU101" s="32"/>
      <c r="AV101" s="32"/>
      <c r="AW101" s="32"/>
      <c r="AX101" s="32"/>
      <c r="AY101" s="32"/>
      <c r="AZ101" s="35"/>
      <c r="BB101" s="45">
        <f t="shared" si="52"/>
        <v>3476.8</v>
      </c>
      <c r="BC101" s="45">
        <f t="shared" si="53"/>
        <v>3415.8</v>
      </c>
      <c r="BD101" s="45"/>
      <c r="BE101" s="45">
        <f t="shared" si="71"/>
        <v>61</v>
      </c>
      <c r="BF101" s="39">
        <f t="shared" si="72"/>
        <v>1.7544868844914862E-2</v>
      </c>
    </row>
    <row r="102" spans="1:58" s="20" customFormat="1" ht="12.75" x14ac:dyDescent="0.2">
      <c r="A102" s="21">
        <f>IF(ISBLANK(F102),"",COUNTA($F$6:F102))</f>
        <v>97</v>
      </c>
      <c r="B102" s="37" t="s">
        <v>60</v>
      </c>
      <c r="C102" s="37" t="s">
        <v>61</v>
      </c>
      <c r="D102" s="22"/>
      <c r="E102" s="23" t="s">
        <v>65</v>
      </c>
      <c r="F102" s="36">
        <v>46228</v>
      </c>
      <c r="G102" s="24" t="s">
        <v>59</v>
      </c>
      <c r="H102" s="24">
        <v>58</v>
      </c>
      <c r="I102" s="24">
        <v>4</v>
      </c>
      <c r="J102" s="24" t="s">
        <v>67</v>
      </c>
      <c r="K102" s="25">
        <v>162011666</v>
      </c>
      <c r="L102" s="26">
        <v>46228</v>
      </c>
      <c r="M102" s="38">
        <v>46230</v>
      </c>
      <c r="N102" s="52">
        <v>16452</v>
      </c>
      <c r="O102" s="27"/>
      <c r="P102" s="27"/>
      <c r="Q102" s="27"/>
      <c r="R102" s="46">
        <v>4859.8500000000004</v>
      </c>
      <c r="S102" s="46">
        <v>1130.7500000000005</v>
      </c>
      <c r="T102" s="46">
        <f t="shared" si="66"/>
        <v>3729.1</v>
      </c>
      <c r="U102" s="46">
        <v>3750.2</v>
      </c>
      <c r="V102" s="46"/>
      <c r="W102" s="46"/>
      <c r="X102" s="46">
        <v>3918.4</v>
      </c>
      <c r="Y102" s="46"/>
      <c r="Z102" s="46">
        <f t="shared" ref="Z102:Z126" si="73">+T102-X102</f>
        <v>-189.30000000000018</v>
      </c>
      <c r="AA102" s="39">
        <f t="shared" ref="AA102:AA127" si="74">Z102/T102</f>
        <v>-5.0762918666702468E-2</v>
      </c>
      <c r="AB102" s="73">
        <v>3757.93</v>
      </c>
      <c r="AC102" s="73"/>
      <c r="AD102" s="73"/>
      <c r="AE102" s="39"/>
      <c r="AF102" s="74"/>
      <c r="AG102" s="74"/>
      <c r="AH102" s="75"/>
      <c r="AI102" s="75">
        <f t="shared" si="67"/>
        <v>0</v>
      </c>
      <c r="AJ102" s="32"/>
      <c r="AK102" s="32"/>
      <c r="AL102" s="32"/>
      <c r="AM102" s="33"/>
      <c r="AN102" s="33"/>
      <c r="AO102" s="33"/>
      <c r="AP102" s="34">
        <f t="shared" si="68"/>
        <v>0</v>
      </c>
      <c r="AQ102" s="32">
        <f t="shared" si="69"/>
        <v>0</v>
      </c>
      <c r="AR102" s="32">
        <f t="shared" si="70"/>
        <v>0</v>
      </c>
      <c r="AS102" s="32"/>
      <c r="AT102" s="32"/>
      <c r="AU102" s="32"/>
      <c r="AV102" s="32"/>
      <c r="AW102" s="32"/>
      <c r="AX102" s="32"/>
      <c r="AY102" s="32"/>
      <c r="AZ102" s="35"/>
      <c r="BB102" s="45">
        <f t="shared" ref="BB102:BB126" si="75">IF(AND(AB102="",AC102=""),T102,IF(AC102="",AB102,AC102))</f>
        <v>3757.93</v>
      </c>
      <c r="BC102" s="45">
        <f t="shared" ref="BC102:BC126" si="76">+X102</f>
        <v>3918.4</v>
      </c>
      <c r="BD102" s="45"/>
      <c r="BE102" s="45">
        <f t="shared" si="71"/>
        <v>-160.47000000000025</v>
      </c>
      <c r="BF102" s="39">
        <f t="shared" si="72"/>
        <v>-4.270170013810802E-2</v>
      </c>
    </row>
    <row r="103" spans="1:58" s="20" customFormat="1" ht="12.75" x14ac:dyDescent="0.2">
      <c r="A103" s="21">
        <f>IF(ISBLANK(F103),"",COUNTA($F$6:F103))</f>
        <v>98</v>
      </c>
      <c r="B103" s="37" t="s">
        <v>60</v>
      </c>
      <c r="C103" s="37" t="s">
        <v>61</v>
      </c>
      <c r="D103" s="22"/>
      <c r="E103" s="23" t="s">
        <v>64</v>
      </c>
      <c r="F103" s="36">
        <v>46228</v>
      </c>
      <c r="G103" s="24" t="s">
        <v>59</v>
      </c>
      <c r="H103" s="24">
        <v>59</v>
      </c>
      <c r="I103" s="24">
        <v>1</v>
      </c>
      <c r="J103" s="24" t="s">
        <v>64</v>
      </c>
      <c r="K103" s="25">
        <v>162004349</v>
      </c>
      <c r="L103" s="26">
        <v>46228</v>
      </c>
      <c r="M103" s="38">
        <v>46229</v>
      </c>
      <c r="N103" s="52">
        <v>16448</v>
      </c>
      <c r="O103" s="27"/>
      <c r="P103" s="27"/>
      <c r="Q103" s="27"/>
      <c r="R103" s="46">
        <v>5186.1000000000004</v>
      </c>
      <c r="S103" s="46">
        <v>1216.5000000000005</v>
      </c>
      <c r="T103" s="46">
        <f t="shared" si="66"/>
        <v>3969.6</v>
      </c>
      <c r="U103" s="46">
        <v>3988.4</v>
      </c>
      <c r="V103" s="46"/>
      <c r="W103" s="46"/>
      <c r="X103" s="46">
        <v>3857.2</v>
      </c>
      <c r="Y103" s="46"/>
      <c r="Z103" s="46">
        <f t="shared" si="73"/>
        <v>112.40000000000009</v>
      </c>
      <c r="AA103" s="39">
        <f t="shared" si="74"/>
        <v>2.8315195485691277E-2</v>
      </c>
      <c r="AB103" s="73">
        <v>3969.6</v>
      </c>
      <c r="AC103" s="73"/>
      <c r="AD103" s="73"/>
      <c r="AE103" s="39"/>
      <c r="AF103" s="74"/>
      <c r="AG103" s="74"/>
      <c r="AH103" s="75"/>
      <c r="AI103" s="75">
        <f t="shared" si="67"/>
        <v>0</v>
      </c>
      <c r="AJ103" s="32"/>
      <c r="AK103" s="32"/>
      <c r="AL103" s="32"/>
      <c r="AM103" s="33"/>
      <c r="AN103" s="33"/>
      <c r="AO103" s="33"/>
      <c r="AP103" s="34">
        <f t="shared" si="68"/>
        <v>0</v>
      </c>
      <c r="AQ103" s="32">
        <f t="shared" si="69"/>
        <v>0</v>
      </c>
      <c r="AR103" s="32">
        <f t="shared" si="70"/>
        <v>0</v>
      </c>
      <c r="AS103" s="32"/>
      <c r="AT103" s="32"/>
      <c r="AU103" s="32"/>
      <c r="AV103" s="32"/>
      <c r="AW103" s="32"/>
      <c r="AX103" s="32"/>
      <c r="AY103" s="32"/>
      <c r="AZ103" s="35"/>
      <c r="BB103" s="45">
        <f t="shared" si="75"/>
        <v>3969.6</v>
      </c>
      <c r="BC103" s="45">
        <f t="shared" si="76"/>
        <v>3857.2</v>
      </c>
      <c r="BD103" s="45"/>
      <c r="BE103" s="45">
        <f t="shared" si="71"/>
        <v>112.40000000000009</v>
      </c>
      <c r="BF103" s="39">
        <f t="shared" si="72"/>
        <v>2.8315195485691277E-2</v>
      </c>
    </row>
    <row r="104" spans="1:58" s="20" customFormat="1" ht="12.75" x14ac:dyDescent="0.2">
      <c r="A104" s="21">
        <f>IF(ISBLANK(F104),"",COUNTA($F$6:F104))</f>
        <v>99</v>
      </c>
      <c r="B104" s="37" t="s">
        <v>60</v>
      </c>
      <c r="C104" s="37" t="s">
        <v>61</v>
      </c>
      <c r="D104" s="22"/>
      <c r="E104" s="23" t="s">
        <v>63</v>
      </c>
      <c r="F104" s="36">
        <v>46228</v>
      </c>
      <c r="G104" s="24" t="s">
        <v>59</v>
      </c>
      <c r="H104" s="24">
        <v>58</v>
      </c>
      <c r="I104" s="24">
        <v>0</v>
      </c>
      <c r="J104" s="24" t="s">
        <v>63</v>
      </c>
      <c r="K104" s="25">
        <v>162006347</v>
      </c>
      <c r="L104" s="26">
        <v>46228</v>
      </c>
      <c r="M104" s="38">
        <v>46230</v>
      </c>
      <c r="N104" s="52">
        <v>16450</v>
      </c>
      <c r="O104" s="27"/>
      <c r="P104" s="27"/>
      <c r="Q104" s="27"/>
      <c r="R104" s="46">
        <v>5199.04</v>
      </c>
      <c r="S104" s="46">
        <v>1212.6399999999999</v>
      </c>
      <c r="T104" s="46">
        <f t="shared" si="66"/>
        <v>3986.4</v>
      </c>
      <c r="U104" s="46">
        <v>3992.8</v>
      </c>
      <c r="V104" s="46"/>
      <c r="W104" s="46"/>
      <c r="X104" s="46">
        <v>3914</v>
      </c>
      <c r="Y104" s="46"/>
      <c r="Z104" s="46">
        <f t="shared" si="73"/>
        <v>72.400000000000091</v>
      </c>
      <c r="AA104" s="39">
        <f t="shared" si="74"/>
        <v>1.8161749949829442E-2</v>
      </c>
      <c r="AB104" s="73">
        <v>3986.4</v>
      </c>
      <c r="AC104" s="73"/>
      <c r="AD104" s="73"/>
      <c r="AE104" s="39"/>
      <c r="AF104" s="74"/>
      <c r="AG104" s="74"/>
      <c r="AH104" s="75"/>
      <c r="AI104" s="75">
        <f t="shared" si="67"/>
        <v>0</v>
      </c>
      <c r="AJ104" s="32"/>
      <c r="AK104" s="32"/>
      <c r="AL104" s="32"/>
      <c r="AM104" s="33"/>
      <c r="AN104" s="33"/>
      <c r="AO104" s="33"/>
      <c r="AP104" s="34">
        <f t="shared" si="68"/>
        <v>0</v>
      </c>
      <c r="AQ104" s="32">
        <f t="shared" si="69"/>
        <v>0</v>
      </c>
      <c r="AR104" s="32">
        <f t="shared" si="70"/>
        <v>0</v>
      </c>
      <c r="AS104" s="32"/>
      <c r="AT104" s="32"/>
      <c r="AU104" s="32"/>
      <c r="AV104" s="32"/>
      <c r="AW104" s="32"/>
      <c r="AX104" s="32"/>
      <c r="AY104" s="32"/>
      <c r="AZ104" s="35"/>
      <c r="BB104" s="45">
        <f t="shared" si="75"/>
        <v>3986.4</v>
      </c>
      <c r="BC104" s="45">
        <f t="shared" si="76"/>
        <v>3914</v>
      </c>
      <c r="BD104" s="45"/>
      <c r="BE104" s="45">
        <f t="shared" si="71"/>
        <v>72.400000000000091</v>
      </c>
      <c r="BF104" s="39">
        <f t="shared" si="72"/>
        <v>1.8161749949829442E-2</v>
      </c>
    </row>
    <row r="105" spans="1:58" s="20" customFormat="1" ht="12.75" x14ac:dyDescent="0.2">
      <c r="A105" s="21">
        <f>IF(ISBLANK(F105),"",COUNTA($F$6:F105))</f>
        <v>100</v>
      </c>
      <c r="B105" s="37" t="s">
        <v>60</v>
      </c>
      <c r="C105" s="37" t="s">
        <v>61</v>
      </c>
      <c r="D105" s="22"/>
      <c r="E105" s="23" t="s">
        <v>65</v>
      </c>
      <c r="F105" s="36">
        <v>46228</v>
      </c>
      <c r="G105" s="24" t="s">
        <v>59</v>
      </c>
      <c r="H105" s="24">
        <v>58</v>
      </c>
      <c r="I105" s="24">
        <v>0</v>
      </c>
      <c r="J105" s="24" t="s">
        <v>67</v>
      </c>
      <c r="K105" s="25">
        <v>162011668</v>
      </c>
      <c r="L105" s="26">
        <v>46229</v>
      </c>
      <c r="M105" s="38">
        <v>46230</v>
      </c>
      <c r="N105" s="52">
        <v>16453</v>
      </c>
      <c r="O105" s="27"/>
      <c r="P105" s="27"/>
      <c r="Q105" s="27"/>
      <c r="R105" s="46">
        <v>5184</v>
      </c>
      <c r="S105" s="46">
        <v>1217.9000000000001</v>
      </c>
      <c r="T105" s="46">
        <f t="shared" si="66"/>
        <v>3966.1</v>
      </c>
      <c r="U105" s="46">
        <v>4015</v>
      </c>
      <c r="V105" s="46"/>
      <c r="W105" s="46"/>
      <c r="X105" s="46">
        <v>4012.79</v>
      </c>
      <c r="Y105" s="46"/>
      <c r="Z105" s="46">
        <f t="shared" si="73"/>
        <v>-46.690000000000055</v>
      </c>
      <c r="AA105" s="39">
        <f t="shared" si="74"/>
        <v>-1.1772269988149581E-2</v>
      </c>
      <c r="AB105" s="73">
        <v>3973.98</v>
      </c>
      <c r="AC105" s="73"/>
      <c r="AD105" s="73"/>
      <c r="AE105" s="39"/>
      <c r="AF105" s="74"/>
      <c r="AG105" s="74"/>
      <c r="AH105" s="75"/>
      <c r="AI105" s="75">
        <f t="shared" si="67"/>
        <v>0</v>
      </c>
      <c r="AJ105" s="32"/>
      <c r="AK105" s="32"/>
      <c r="AL105" s="32"/>
      <c r="AM105" s="33"/>
      <c r="AN105" s="33"/>
      <c r="AO105" s="33"/>
      <c r="AP105" s="34">
        <f t="shared" si="68"/>
        <v>0</v>
      </c>
      <c r="AQ105" s="32">
        <f t="shared" si="69"/>
        <v>0</v>
      </c>
      <c r="AR105" s="32">
        <f t="shared" si="70"/>
        <v>0</v>
      </c>
      <c r="AS105" s="32"/>
      <c r="AT105" s="32"/>
      <c r="AU105" s="32"/>
      <c r="AV105" s="32"/>
      <c r="AW105" s="32"/>
      <c r="AX105" s="32"/>
      <c r="AY105" s="32"/>
      <c r="AZ105" s="35"/>
      <c r="BB105" s="45">
        <f t="shared" si="75"/>
        <v>3973.98</v>
      </c>
      <c r="BC105" s="45">
        <f t="shared" si="76"/>
        <v>4012.79</v>
      </c>
      <c r="BD105" s="45"/>
      <c r="BE105" s="45">
        <f t="shared" si="71"/>
        <v>-38.809999999999945</v>
      </c>
      <c r="BF105" s="39">
        <f t="shared" si="72"/>
        <v>-9.7660280122194732E-3</v>
      </c>
    </row>
    <row r="106" spans="1:58" s="20" customFormat="1" ht="12.75" x14ac:dyDescent="0.2">
      <c r="A106" s="21">
        <f>IF(ISBLANK(F106),"",COUNTA($F$6:F106))</f>
        <v>101</v>
      </c>
      <c r="B106" s="37" t="s">
        <v>60</v>
      </c>
      <c r="C106" s="37" t="s">
        <v>61</v>
      </c>
      <c r="D106" s="22"/>
      <c r="E106" s="23" t="s">
        <v>63</v>
      </c>
      <c r="F106" s="36">
        <v>46228</v>
      </c>
      <c r="G106" s="24" t="s">
        <v>59</v>
      </c>
      <c r="H106" s="24">
        <v>58</v>
      </c>
      <c r="I106" s="24">
        <v>1</v>
      </c>
      <c r="J106" s="24" t="s">
        <v>63</v>
      </c>
      <c r="K106" s="25">
        <v>162006350</v>
      </c>
      <c r="L106" s="26">
        <v>46229</v>
      </c>
      <c r="M106" s="38">
        <v>46230</v>
      </c>
      <c r="N106" s="52">
        <v>16455</v>
      </c>
      <c r="O106" s="27"/>
      <c r="P106" s="27"/>
      <c r="Q106" s="27"/>
      <c r="R106" s="46">
        <v>5104.09</v>
      </c>
      <c r="S106" s="46">
        <v>1202.69</v>
      </c>
      <c r="T106" s="46">
        <f t="shared" si="66"/>
        <v>3901.4</v>
      </c>
      <c r="U106" s="46">
        <v>3910.6</v>
      </c>
      <c r="V106" s="46"/>
      <c r="W106" s="46"/>
      <c r="X106" s="46">
        <v>3776.4</v>
      </c>
      <c r="Y106" s="46"/>
      <c r="Z106" s="46">
        <f t="shared" si="73"/>
        <v>125</v>
      </c>
      <c r="AA106" s="39">
        <f t="shared" si="74"/>
        <v>3.2039780591582509E-2</v>
      </c>
      <c r="AB106" s="73">
        <v>3901.35</v>
      </c>
      <c r="AC106" s="73"/>
      <c r="AD106" s="73"/>
      <c r="AE106" s="39"/>
      <c r="AF106" s="74"/>
      <c r="AG106" s="74"/>
      <c r="AH106" s="75"/>
      <c r="AI106" s="75">
        <f t="shared" si="67"/>
        <v>0</v>
      </c>
      <c r="AJ106" s="32"/>
      <c r="AK106" s="32"/>
      <c r="AL106" s="32"/>
      <c r="AM106" s="33"/>
      <c r="AN106" s="33"/>
      <c r="AO106" s="33"/>
      <c r="AP106" s="34">
        <f t="shared" si="68"/>
        <v>0</v>
      </c>
      <c r="AQ106" s="32">
        <f t="shared" si="69"/>
        <v>0</v>
      </c>
      <c r="AR106" s="32">
        <f t="shared" si="70"/>
        <v>0</v>
      </c>
      <c r="AS106" s="32"/>
      <c r="AT106" s="32"/>
      <c r="AU106" s="32"/>
      <c r="AV106" s="32"/>
      <c r="AW106" s="32"/>
      <c r="AX106" s="32"/>
      <c r="AY106" s="32"/>
      <c r="AZ106" s="35"/>
      <c r="BB106" s="45">
        <f t="shared" si="75"/>
        <v>3901.35</v>
      </c>
      <c r="BC106" s="45">
        <f t="shared" si="76"/>
        <v>3776.4</v>
      </c>
      <c r="BD106" s="45"/>
      <c r="BE106" s="45">
        <f t="shared" si="71"/>
        <v>124.94999999999982</v>
      </c>
      <c r="BF106" s="39">
        <f t="shared" si="72"/>
        <v>3.2027375139374786E-2</v>
      </c>
    </row>
    <row r="107" spans="1:58" s="20" customFormat="1" ht="12.75" x14ac:dyDescent="0.2">
      <c r="A107" s="21">
        <f>IF(ISBLANK(F107),"",COUNTA($F$6:F107))</f>
        <v>102</v>
      </c>
      <c r="B107" s="37" t="s">
        <v>60</v>
      </c>
      <c r="C107" s="37" t="s">
        <v>61</v>
      </c>
      <c r="D107" s="22"/>
      <c r="E107" s="23" t="s">
        <v>65</v>
      </c>
      <c r="F107" s="36">
        <v>46229</v>
      </c>
      <c r="G107" s="24" t="s">
        <v>59</v>
      </c>
      <c r="H107" s="24">
        <v>58</v>
      </c>
      <c r="I107" s="24">
        <v>0</v>
      </c>
      <c r="J107" s="24" t="s">
        <v>67</v>
      </c>
      <c r="K107" s="25">
        <v>162011669</v>
      </c>
      <c r="L107" s="26">
        <v>46229</v>
      </c>
      <c r="M107" s="38">
        <v>46231</v>
      </c>
      <c r="N107" s="52">
        <v>16458</v>
      </c>
      <c r="O107" s="27"/>
      <c r="P107" s="27"/>
      <c r="Q107" s="27"/>
      <c r="R107" s="46">
        <v>5148.2</v>
      </c>
      <c r="S107" s="46">
        <v>1213.7999999999997</v>
      </c>
      <c r="T107" s="46">
        <f t="shared" si="66"/>
        <v>3934.4</v>
      </c>
      <c r="U107" s="46">
        <v>4022.4</v>
      </c>
      <c r="V107" s="46"/>
      <c r="W107" s="46"/>
      <c r="X107" s="46">
        <v>4027.2</v>
      </c>
      <c r="Y107" s="46"/>
      <c r="Z107" s="46">
        <f t="shared" si="73"/>
        <v>-92.799999999999727</v>
      </c>
      <c r="AA107" s="39">
        <f t="shared" si="74"/>
        <v>-2.3586823912159344E-2</v>
      </c>
      <c r="AB107" s="73">
        <v>3942.06</v>
      </c>
      <c r="AC107" s="73"/>
      <c r="AD107" s="73"/>
      <c r="AE107" s="39"/>
      <c r="AF107" s="74"/>
      <c r="AG107" s="74"/>
      <c r="AH107" s="75"/>
      <c r="AI107" s="75">
        <f t="shared" si="67"/>
        <v>0</v>
      </c>
      <c r="AJ107" s="32"/>
      <c r="AK107" s="32"/>
      <c r="AL107" s="32"/>
      <c r="AM107" s="33"/>
      <c r="AN107" s="33"/>
      <c r="AO107" s="33"/>
      <c r="AP107" s="34">
        <f t="shared" si="68"/>
        <v>0</v>
      </c>
      <c r="AQ107" s="32">
        <f t="shared" si="69"/>
        <v>0</v>
      </c>
      <c r="AR107" s="32">
        <f t="shared" si="70"/>
        <v>0</v>
      </c>
      <c r="AS107" s="32"/>
      <c r="AT107" s="32"/>
      <c r="AU107" s="32"/>
      <c r="AV107" s="32"/>
      <c r="AW107" s="32"/>
      <c r="AX107" s="32"/>
      <c r="AY107" s="32"/>
      <c r="AZ107" s="35"/>
      <c r="BB107" s="45">
        <f t="shared" si="75"/>
        <v>3942.06</v>
      </c>
      <c r="BC107" s="45">
        <f t="shared" si="76"/>
        <v>4027.2</v>
      </c>
      <c r="BD107" s="45"/>
      <c r="BE107" s="45">
        <f t="shared" si="71"/>
        <v>-85.139999999999873</v>
      </c>
      <c r="BF107" s="39">
        <f t="shared" si="72"/>
        <v>-2.1597844781662347E-2</v>
      </c>
    </row>
    <row r="108" spans="1:58" s="20" customFormat="1" ht="12.75" x14ac:dyDescent="0.2">
      <c r="A108" s="21">
        <f>IF(ISBLANK(F108),"",COUNTA($F$6:F108))</f>
        <v>103</v>
      </c>
      <c r="B108" s="37" t="s">
        <v>60</v>
      </c>
      <c r="C108" s="37" t="s">
        <v>61</v>
      </c>
      <c r="D108" s="22"/>
      <c r="E108" s="23" t="s">
        <v>64</v>
      </c>
      <c r="F108" s="36">
        <v>46229</v>
      </c>
      <c r="G108" s="24" t="s">
        <v>59</v>
      </c>
      <c r="H108" s="24">
        <v>58</v>
      </c>
      <c r="I108" s="24">
        <v>0</v>
      </c>
      <c r="J108" s="24" t="s">
        <v>64</v>
      </c>
      <c r="K108" s="25">
        <v>162004351</v>
      </c>
      <c r="L108" s="26">
        <v>46229</v>
      </c>
      <c r="M108" s="38">
        <v>46231</v>
      </c>
      <c r="N108" s="52">
        <v>16457</v>
      </c>
      <c r="O108" s="27"/>
      <c r="P108" s="27"/>
      <c r="Q108" s="27"/>
      <c r="R108" s="46">
        <v>5182.16</v>
      </c>
      <c r="S108" s="46">
        <v>1214.06</v>
      </c>
      <c r="T108" s="46">
        <f t="shared" si="66"/>
        <v>3968.1</v>
      </c>
      <c r="U108" s="46">
        <v>3985.8</v>
      </c>
      <c r="V108" s="46"/>
      <c r="W108" s="46"/>
      <c r="X108" s="46">
        <v>3846.8</v>
      </c>
      <c r="Y108" s="46"/>
      <c r="Z108" s="46">
        <f t="shared" si="73"/>
        <v>121.29999999999973</v>
      </c>
      <c r="AA108" s="39">
        <f t="shared" si="74"/>
        <v>3.0568786068899404E-2</v>
      </c>
      <c r="AB108" s="73">
        <v>3968.1</v>
      </c>
      <c r="AC108" s="73"/>
      <c r="AD108" s="73"/>
      <c r="AE108" s="39"/>
      <c r="AF108" s="74"/>
      <c r="AG108" s="74"/>
      <c r="AH108" s="75"/>
      <c r="AI108" s="75">
        <f t="shared" si="67"/>
        <v>0</v>
      </c>
      <c r="AJ108" s="32"/>
      <c r="AK108" s="32"/>
      <c r="AL108" s="32"/>
      <c r="AM108" s="33"/>
      <c r="AN108" s="33"/>
      <c r="AO108" s="33"/>
      <c r="AP108" s="34">
        <f t="shared" si="68"/>
        <v>0</v>
      </c>
      <c r="AQ108" s="32">
        <f t="shared" si="69"/>
        <v>0</v>
      </c>
      <c r="AR108" s="32">
        <f t="shared" si="70"/>
        <v>0</v>
      </c>
      <c r="AS108" s="32"/>
      <c r="AT108" s="32"/>
      <c r="AU108" s="32"/>
      <c r="AV108" s="32"/>
      <c r="AW108" s="32"/>
      <c r="AX108" s="32"/>
      <c r="AY108" s="32"/>
      <c r="AZ108" s="35"/>
      <c r="BB108" s="45">
        <f t="shared" si="75"/>
        <v>3968.1</v>
      </c>
      <c r="BC108" s="45">
        <f t="shared" si="76"/>
        <v>3846.8</v>
      </c>
      <c r="BD108" s="45"/>
      <c r="BE108" s="45">
        <f t="shared" si="71"/>
        <v>121.29999999999973</v>
      </c>
      <c r="BF108" s="39">
        <f t="shared" si="72"/>
        <v>3.0568786068899404E-2</v>
      </c>
    </row>
    <row r="109" spans="1:58" s="20" customFormat="1" ht="12.75" x14ac:dyDescent="0.2">
      <c r="A109" s="21">
        <f>IF(ISBLANK(F109),"",COUNTA($F$6:F109))</f>
        <v>104</v>
      </c>
      <c r="B109" s="37" t="s">
        <v>60</v>
      </c>
      <c r="C109" s="37" t="s">
        <v>61</v>
      </c>
      <c r="D109" s="22"/>
      <c r="E109" s="23" t="s">
        <v>63</v>
      </c>
      <c r="F109" s="36">
        <v>46229</v>
      </c>
      <c r="G109" s="24" t="s">
        <v>59</v>
      </c>
      <c r="H109" s="24">
        <v>57</v>
      </c>
      <c r="I109" s="24">
        <v>0</v>
      </c>
      <c r="J109" s="24" t="s">
        <v>63</v>
      </c>
      <c r="K109" s="25">
        <v>162006351</v>
      </c>
      <c r="L109" s="26">
        <v>46229</v>
      </c>
      <c r="M109" s="38">
        <v>46231</v>
      </c>
      <c r="N109" s="52">
        <v>16460</v>
      </c>
      <c r="O109" s="27"/>
      <c r="P109" s="27"/>
      <c r="Q109" s="27"/>
      <c r="R109" s="46">
        <v>5118.3</v>
      </c>
      <c r="S109" s="46">
        <v>1190.7000000000003</v>
      </c>
      <c r="T109" s="46">
        <f t="shared" si="66"/>
        <v>3927.6</v>
      </c>
      <c r="U109" s="46">
        <v>3932</v>
      </c>
      <c r="V109" s="46"/>
      <c r="W109" s="46"/>
      <c r="X109" s="46">
        <v>3854</v>
      </c>
      <c r="Y109" s="46"/>
      <c r="Z109" s="46">
        <f t="shared" si="73"/>
        <v>73.599999999999909</v>
      </c>
      <c r="AA109" s="39">
        <f t="shared" si="74"/>
        <v>1.8739179142478846E-2</v>
      </c>
      <c r="AB109" s="73">
        <v>3927.55</v>
      </c>
      <c r="AC109" s="73"/>
      <c r="AD109" s="73"/>
      <c r="AE109" s="39"/>
      <c r="AF109" s="74"/>
      <c r="AG109" s="74"/>
      <c r="AH109" s="75"/>
      <c r="AI109" s="75">
        <f t="shared" si="67"/>
        <v>0</v>
      </c>
      <c r="AJ109" s="32"/>
      <c r="AK109" s="32"/>
      <c r="AL109" s="32"/>
      <c r="AM109" s="33"/>
      <c r="AN109" s="33"/>
      <c r="AO109" s="33"/>
      <c r="AP109" s="34">
        <f t="shared" si="68"/>
        <v>0</v>
      </c>
      <c r="AQ109" s="32">
        <f t="shared" si="69"/>
        <v>0</v>
      </c>
      <c r="AR109" s="32">
        <f t="shared" si="70"/>
        <v>0</v>
      </c>
      <c r="AS109" s="32"/>
      <c r="AT109" s="32"/>
      <c r="AU109" s="32"/>
      <c r="AV109" s="32"/>
      <c r="AW109" s="32"/>
      <c r="AX109" s="32"/>
      <c r="AY109" s="32"/>
      <c r="AZ109" s="35"/>
      <c r="BB109" s="45">
        <f t="shared" si="75"/>
        <v>3927.55</v>
      </c>
      <c r="BC109" s="45">
        <f t="shared" si="76"/>
        <v>3854</v>
      </c>
      <c r="BD109" s="45"/>
      <c r="BE109" s="45">
        <f t="shared" si="71"/>
        <v>73.550000000000182</v>
      </c>
      <c r="BF109" s="39">
        <f t="shared" si="72"/>
        <v>1.872668712046955E-2</v>
      </c>
    </row>
    <row r="110" spans="1:58" s="20" customFormat="1" ht="12.75" x14ac:dyDescent="0.2">
      <c r="A110" s="21">
        <f>IF(ISBLANK(F110),"",COUNTA($F$6:F110))</f>
        <v>105</v>
      </c>
      <c r="B110" s="37" t="s">
        <v>60</v>
      </c>
      <c r="C110" s="37" t="s">
        <v>61</v>
      </c>
      <c r="D110" s="22"/>
      <c r="E110" s="23" t="s">
        <v>65</v>
      </c>
      <c r="F110" s="36">
        <v>46229</v>
      </c>
      <c r="G110" s="24" t="s">
        <v>59</v>
      </c>
      <c r="H110" s="24">
        <v>58</v>
      </c>
      <c r="I110" s="24">
        <v>0</v>
      </c>
      <c r="J110" s="24" t="s">
        <v>67</v>
      </c>
      <c r="K110" s="25">
        <v>162011671</v>
      </c>
      <c r="L110" s="26">
        <v>46230</v>
      </c>
      <c r="M110" s="38">
        <v>46231</v>
      </c>
      <c r="N110" s="52">
        <v>16461</v>
      </c>
      <c r="O110" s="27"/>
      <c r="P110" s="27"/>
      <c r="Q110" s="27"/>
      <c r="R110" s="46">
        <v>5142.3999999999996</v>
      </c>
      <c r="S110" s="46">
        <v>1214.8999999999996</v>
      </c>
      <c r="T110" s="46">
        <f t="shared" si="66"/>
        <v>3927.5</v>
      </c>
      <c r="U110" s="46">
        <v>4012.2</v>
      </c>
      <c r="V110" s="46"/>
      <c r="W110" s="46"/>
      <c r="X110" s="46">
        <v>4116.2</v>
      </c>
      <c r="Y110" s="46"/>
      <c r="Z110" s="46">
        <f t="shared" si="73"/>
        <v>-188.69999999999982</v>
      </c>
      <c r="AA110" s="39">
        <f t="shared" si="74"/>
        <v>-4.8045830681094796E-2</v>
      </c>
      <c r="AB110" s="73">
        <v>3931.83</v>
      </c>
      <c r="AC110" s="73"/>
      <c r="AD110" s="73"/>
      <c r="AE110" s="39"/>
      <c r="AF110" s="74"/>
      <c r="AG110" s="74"/>
      <c r="AH110" s="75"/>
      <c r="AI110" s="75">
        <f t="shared" si="67"/>
        <v>0</v>
      </c>
      <c r="AJ110" s="32"/>
      <c r="AK110" s="32"/>
      <c r="AL110" s="32"/>
      <c r="AM110" s="33"/>
      <c r="AN110" s="33"/>
      <c r="AO110" s="33"/>
      <c r="AP110" s="34">
        <f t="shared" si="68"/>
        <v>0</v>
      </c>
      <c r="AQ110" s="32">
        <f t="shared" si="69"/>
        <v>0</v>
      </c>
      <c r="AR110" s="32">
        <f t="shared" si="70"/>
        <v>0</v>
      </c>
      <c r="AS110" s="32"/>
      <c r="AT110" s="32"/>
      <c r="AU110" s="32"/>
      <c r="AV110" s="32"/>
      <c r="AW110" s="32"/>
      <c r="AX110" s="32"/>
      <c r="AY110" s="32"/>
      <c r="AZ110" s="35"/>
      <c r="BB110" s="45">
        <f t="shared" si="75"/>
        <v>3931.83</v>
      </c>
      <c r="BC110" s="45">
        <f t="shared" si="76"/>
        <v>4116.2</v>
      </c>
      <c r="BD110" s="45"/>
      <c r="BE110" s="45">
        <f t="shared" si="71"/>
        <v>-184.36999999999989</v>
      </c>
      <c r="BF110" s="39">
        <f t="shared" si="72"/>
        <v>-4.6891650961511537E-2</v>
      </c>
    </row>
    <row r="111" spans="1:58" s="20" customFormat="1" ht="12.75" x14ac:dyDescent="0.2">
      <c r="A111" s="21">
        <f>IF(ISBLANK(F111),"",COUNTA($F$6:F111))</f>
        <v>106</v>
      </c>
      <c r="B111" s="37" t="s">
        <v>60</v>
      </c>
      <c r="C111" s="37" t="s">
        <v>61</v>
      </c>
      <c r="D111" s="22"/>
      <c r="E111" s="23" t="s">
        <v>64</v>
      </c>
      <c r="F111" s="36">
        <v>46230</v>
      </c>
      <c r="G111" s="24" t="s">
        <v>59</v>
      </c>
      <c r="H111" s="24">
        <v>58</v>
      </c>
      <c r="I111" s="24">
        <v>0</v>
      </c>
      <c r="J111" s="24" t="s">
        <v>64</v>
      </c>
      <c r="K111" s="25">
        <v>162004352</v>
      </c>
      <c r="L111" s="26">
        <v>46230</v>
      </c>
      <c r="M111" s="38">
        <v>46231</v>
      </c>
      <c r="N111" s="52">
        <v>16463</v>
      </c>
      <c r="O111" s="27"/>
      <c r="P111" s="27"/>
      <c r="Q111" s="27"/>
      <c r="R111" s="46">
        <v>5189.1400000000003</v>
      </c>
      <c r="S111" s="46">
        <v>1213.8400000000001</v>
      </c>
      <c r="T111" s="46">
        <f t="shared" si="66"/>
        <v>3975.3</v>
      </c>
      <c r="U111" s="46">
        <v>3990.6</v>
      </c>
      <c r="V111" s="46"/>
      <c r="W111" s="46"/>
      <c r="X111" s="46">
        <v>3736</v>
      </c>
      <c r="Y111" s="46"/>
      <c r="Z111" s="46">
        <f t="shared" si="73"/>
        <v>239.30000000000018</v>
      </c>
      <c r="AA111" s="39">
        <f t="shared" si="74"/>
        <v>6.0196714713355012E-2</v>
      </c>
      <c r="AB111" s="73">
        <v>3975.3</v>
      </c>
      <c r="AC111" s="73"/>
      <c r="AD111" s="73"/>
      <c r="AE111" s="39"/>
      <c r="AF111" s="74"/>
      <c r="AG111" s="74"/>
      <c r="AH111" s="75"/>
      <c r="AI111" s="75">
        <f t="shared" si="67"/>
        <v>0</v>
      </c>
      <c r="AJ111" s="32"/>
      <c r="AK111" s="32"/>
      <c r="AL111" s="32"/>
      <c r="AM111" s="33"/>
      <c r="AN111" s="33"/>
      <c r="AO111" s="33"/>
      <c r="AP111" s="34">
        <f t="shared" si="68"/>
        <v>0</v>
      </c>
      <c r="AQ111" s="32">
        <f t="shared" si="69"/>
        <v>0</v>
      </c>
      <c r="AR111" s="32">
        <f t="shared" si="70"/>
        <v>0</v>
      </c>
      <c r="AS111" s="32"/>
      <c r="AT111" s="32"/>
      <c r="AU111" s="32"/>
      <c r="AV111" s="32"/>
      <c r="AW111" s="32"/>
      <c r="AX111" s="32"/>
      <c r="AY111" s="32"/>
      <c r="AZ111" s="35"/>
      <c r="BB111" s="45">
        <f t="shared" si="75"/>
        <v>3975.3</v>
      </c>
      <c r="BC111" s="45">
        <f t="shared" si="76"/>
        <v>3736</v>
      </c>
      <c r="BD111" s="45"/>
      <c r="BE111" s="45">
        <f t="shared" si="71"/>
        <v>239.30000000000018</v>
      </c>
      <c r="BF111" s="39">
        <f t="shared" si="72"/>
        <v>6.0196714713355012E-2</v>
      </c>
    </row>
    <row r="112" spans="1:58" s="20" customFormat="1" ht="12.75" x14ac:dyDescent="0.2">
      <c r="A112" s="21">
        <f>IF(ISBLANK(F112),"",COUNTA($F$6:F112))</f>
        <v>107</v>
      </c>
      <c r="B112" s="37" t="s">
        <v>60</v>
      </c>
      <c r="C112" s="37" t="s">
        <v>61</v>
      </c>
      <c r="D112" s="22"/>
      <c r="E112" s="23" t="s">
        <v>65</v>
      </c>
      <c r="F112" s="36">
        <v>46230</v>
      </c>
      <c r="G112" s="24" t="s">
        <v>59</v>
      </c>
      <c r="H112" s="24">
        <v>58</v>
      </c>
      <c r="I112" s="24">
        <v>0</v>
      </c>
      <c r="J112" s="24" t="s">
        <v>67</v>
      </c>
      <c r="K112" s="25">
        <v>162011672</v>
      </c>
      <c r="L112" s="26">
        <v>46230</v>
      </c>
      <c r="M112" s="38">
        <v>46232</v>
      </c>
      <c r="N112" s="52">
        <v>16466</v>
      </c>
      <c r="O112" s="27"/>
      <c r="P112" s="27"/>
      <c r="Q112" s="27"/>
      <c r="R112" s="46">
        <v>5155.6000000000004</v>
      </c>
      <c r="S112" s="46">
        <v>1213.0000000000005</v>
      </c>
      <c r="T112" s="46">
        <f t="shared" si="66"/>
        <v>3942.6</v>
      </c>
      <c r="U112" s="46">
        <v>4029</v>
      </c>
      <c r="V112" s="46"/>
      <c r="W112" s="46"/>
      <c r="X112" s="46">
        <v>4217.2</v>
      </c>
      <c r="Y112" s="46"/>
      <c r="Z112" s="46">
        <f t="shared" si="73"/>
        <v>-274.59999999999991</v>
      </c>
      <c r="AA112" s="39">
        <f t="shared" si="74"/>
        <v>-6.9649469892964014E-2</v>
      </c>
      <c r="AB112" s="73">
        <v>3945.61</v>
      </c>
      <c r="AC112" s="73"/>
      <c r="AD112" s="73"/>
      <c r="AE112" s="39"/>
      <c r="AF112" s="74"/>
      <c r="AG112" s="74"/>
      <c r="AH112" s="75"/>
      <c r="AI112" s="75">
        <f t="shared" si="67"/>
        <v>0</v>
      </c>
      <c r="AJ112" s="32"/>
      <c r="AK112" s="32"/>
      <c r="AL112" s="32"/>
      <c r="AM112" s="33"/>
      <c r="AN112" s="33"/>
      <c r="AO112" s="33"/>
      <c r="AP112" s="34">
        <f t="shared" si="68"/>
        <v>0</v>
      </c>
      <c r="AQ112" s="32">
        <f t="shared" si="69"/>
        <v>0</v>
      </c>
      <c r="AR112" s="32">
        <f t="shared" si="70"/>
        <v>0</v>
      </c>
      <c r="AS112" s="32"/>
      <c r="AT112" s="32"/>
      <c r="AU112" s="32"/>
      <c r="AV112" s="32"/>
      <c r="AW112" s="32"/>
      <c r="AX112" s="32"/>
      <c r="AY112" s="32"/>
      <c r="AZ112" s="35"/>
      <c r="BB112" s="45">
        <f t="shared" si="75"/>
        <v>3945.61</v>
      </c>
      <c r="BC112" s="45">
        <f t="shared" si="76"/>
        <v>4217.2</v>
      </c>
      <c r="BD112" s="45"/>
      <c r="BE112" s="45">
        <f t="shared" si="71"/>
        <v>-271.58999999999969</v>
      </c>
      <c r="BF112" s="39">
        <f t="shared" si="72"/>
        <v>-6.883346301332359E-2</v>
      </c>
    </row>
    <row r="113" spans="1:58" s="20" customFormat="1" ht="12.75" x14ac:dyDescent="0.2">
      <c r="A113" s="21">
        <f>IF(ISBLANK(F113),"",COUNTA($F$6:F113))</f>
        <v>108</v>
      </c>
      <c r="B113" s="37" t="s">
        <v>60</v>
      </c>
      <c r="C113" s="37" t="s">
        <v>61</v>
      </c>
      <c r="D113" s="22"/>
      <c r="E113" s="23" t="s">
        <v>64</v>
      </c>
      <c r="F113" s="36">
        <v>46230</v>
      </c>
      <c r="G113" s="24" t="s">
        <v>59</v>
      </c>
      <c r="H113" s="24">
        <v>58</v>
      </c>
      <c r="I113" s="24">
        <v>2</v>
      </c>
      <c r="J113" s="24" t="s">
        <v>64</v>
      </c>
      <c r="K113" s="25">
        <v>162004353</v>
      </c>
      <c r="L113" s="26">
        <v>46230</v>
      </c>
      <c r="M113" s="38">
        <v>46231</v>
      </c>
      <c r="N113" s="52">
        <v>16464</v>
      </c>
      <c r="O113" s="27"/>
      <c r="P113" s="27"/>
      <c r="Q113" s="27"/>
      <c r="R113" s="46">
        <v>4987.1000000000004</v>
      </c>
      <c r="S113" s="46">
        <v>1187.1000000000004</v>
      </c>
      <c r="T113" s="46">
        <f t="shared" si="66"/>
        <v>3800</v>
      </c>
      <c r="U113" s="46">
        <v>3832</v>
      </c>
      <c r="V113" s="46"/>
      <c r="W113" s="46"/>
      <c r="X113" s="46">
        <v>3763.4</v>
      </c>
      <c r="Y113" s="46"/>
      <c r="Z113" s="46">
        <f t="shared" si="73"/>
        <v>36.599999999999909</v>
      </c>
      <c r="AA113" s="39">
        <f t="shared" si="74"/>
        <v>9.6315789473683973E-3</v>
      </c>
      <c r="AB113" s="73">
        <v>3800</v>
      </c>
      <c r="AC113" s="73"/>
      <c r="AD113" s="73"/>
      <c r="AE113" s="39"/>
      <c r="AF113" s="74"/>
      <c r="AG113" s="74"/>
      <c r="AH113" s="75"/>
      <c r="AI113" s="75">
        <f t="shared" si="67"/>
        <v>0</v>
      </c>
      <c r="AJ113" s="32"/>
      <c r="AK113" s="32"/>
      <c r="AL113" s="32"/>
      <c r="AM113" s="33"/>
      <c r="AN113" s="33"/>
      <c r="AO113" s="33"/>
      <c r="AP113" s="34">
        <f t="shared" si="68"/>
        <v>0</v>
      </c>
      <c r="AQ113" s="32">
        <f t="shared" si="69"/>
        <v>0</v>
      </c>
      <c r="AR113" s="32">
        <f t="shared" si="70"/>
        <v>0</v>
      </c>
      <c r="AS113" s="32"/>
      <c r="AT113" s="32"/>
      <c r="AU113" s="32"/>
      <c r="AV113" s="32"/>
      <c r="AW113" s="32"/>
      <c r="AX113" s="32"/>
      <c r="AY113" s="32"/>
      <c r="AZ113" s="35"/>
      <c r="BB113" s="45">
        <f t="shared" si="75"/>
        <v>3800</v>
      </c>
      <c r="BC113" s="45">
        <f t="shared" si="76"/>
        <v>3763.4</v>
      </c>
      <c r="BD113" s="45"/>
      <c r="BE113" s="45">
        <f t="shared" si="71"/>
        <v>36.599999999999909</v>
      </c>
      <c r="BF113" s="39">
        <f t="shared" si="72"/>
        <v>9.6315789473683973E-3</v>
      </c>
    </row>
    <row r="114" spans="1:58" s="20" customFormat="1" ht="12.75" x14ac:dyDescent="0.2">
      <c r="A114" s="21">
        <f>IF(ISBLANK(F114),"",COUNTA($F$6:F114))</f>
        <v>109</v>
      </c>
      <c r="B114" s="37" t="s">
        <v>60</v>
      </c>
      <c r="C114" s="37" t="s">
        <v>61</v>
      </c>
      <c r="D114" s="22"/>
      <c r="E114" s="23" t="s">
        <v>64</v>
      </c>
      <c r="F114" s="36">
        <v>46230</v>
      </c>
      <c r="G114" s="24" t="s">
        <v>59</v>
      </c>
      <c r="H114" s="24">
        <v>58</v>
      </c>
      <c r="I114" s="24">
        <v>0</v>
      </c>
      <c r="J114" s="24" t="s">
        <v>64</v>
      </c>
      <c r="K114" s="25">
        <v>162004354</v>
      </c>
      <c r="L114" s="26">
        <v>46231</v>
      </c>
      <c r="M114" s="38">
        <v>46232</v>
      </c>
      <c r="N114" s="52">
        <v>16465</v>
      </c>
      <c r="O114" s="27"/>
      <c r="P114" s="27"/>
      <c r="Q114" s="27"/>
      <c r="R114" s="46">
        <v>5188.0600000000004</v>
      </c>
      <c r="S114" s="46">
        <v>1218.5600000000004</v>
      </c>
      <c r="T114" s="46">
        <f t="shared" ref="T114" si="77">+R114-S114</f>
        <v>3969.5</v>
      </c>
      <c r="U114" s="46">
        <v>3987.2</v>
      </c>
      <c r="V114" s="46"/>
      <c r="W114" s="46"/>
      <c r="X114" s="46">
        <v>3868.2</v>
      </c>
      <c r="Y114" s="46"/>
      <c r="Z114" s="46">
        <f t="shared" si="73"/>
        <v>101.30000000000018</v>
      </c>
      <c r="AA114" s="39">
        <f t="shared" si="74"/>
        <v>2.5519586849729232E-2</v>
      </c>
      <c r="AB114" s="73">
        <v>3969.5</v>
      </c>
      <c r="AC114" s="73"/>
      <c r="AD114" s="73"/>
      <c r="AE114" s="39"/>
      <c r="AF114" s="74"/>
      <c r="AG114" s="74"/>
      <c r="AH114" s="75"/>
      <c r="AI114" s="75">
        <f t="shared" ref="AI114" si="78">+AG114+AH114</f>
        <v>0</v>
      </c>
      <c r="AJ114" s="32"/>
      <c r="AK114" s="32"/>
      <c r="AL114" s="32"/>
      <c r="AM114" s="33"/>
      <c r="AN114" s="33"/>
      <c r="AO114" s="33"/>
      <c r="AP114" s="34">
        <f t="shared" ref="AP114" si="79">ROUNDUP((AO114-AM114+(AO114&lt;AM114))*24,0)</f>
        <v>0</v>
      </c>
      <c r="AQ114" s="32">
        <f t="shared" ref="AQ114" si="80">IF(AP114&gt;5,(AP114-5),0)</f>
        <v>0</v>
      </c>
      <c r="AR114" s="32">
        <f t="shared" ref="AR114" si="81">+AQ114*8850</f>
        <v>0</v>
      </c>
      <c r="AS114" s="32"/>
      <c r="AT114" s="32"/>
      <c r="AU114" s="32"/>
      <c r="AV114" s="32"/>
      <c r="AW114" s="32"/>
      <c r="AX114" s="32"/>
      <c r="AY114" s="32"/>
      <c r="AZ114" s="35"/>
      <c r="BB114" s="45">
        <f t="shared" si="75"/>
        <v>3969.5</v>
      </c>
      <c r="BC114" s="45">
        <f t="shared" si="76"/>
        <v>3868.2</v>
      </c>
      <c r="BD114" s="45"/>
      <c r="BE114" s="45">
        <f t="shared" ref="BE114" si="82">+BB114-BC114</f>
        <v>101.30000000000018</v>
      </c>
      <c r="BF114" s="39">
        <f t="shared" ref="BF114" si="83">+BE114/BB114</f>
        <v>2.5519586849729232E-2</v>
      </c>
    </row>
    <row r="115" spans="1:58" s="20" customFormat="1" ht="12.75" x14ac:dyDescent="0.2">
      <c r="A115" s="21">
        <f>IF(ISBLANK(F115),"",COUNTA($F$6:F115))</f>
        <v>110</v>
      </c>
      <c r="B115" s="37" t="s">
        <v>60</v>
      </c>
      <c r="C115" s="37" t="s">
        <v>61</v>
      </c>
      <c r="D115" s="22"/>
      <c r="E115" s="23" t="s">
        <v>65</v>
      </c>
      <c r="F115" s="36">
        <v>46230</v>
      </c>
      <c r="G115" s="24" t="s">
        <v>59</v>
      </c>
      <c r="H115" s="24">
        <v>58</v>
      </c>
      <c r="I115" s="24">
        <v>3</v>
      </c>
      <c r="J115" s="24" t="s">
        <v>67</v>
      </c>
      <c r="K115" s="25">
        <v>162011674</v>
      </c>
      <c r="L115" s="26">
        <v>46231</v>
      </c>
      <c r="M115" s="38">
        <v>46233</v>
      </c>
      <c r="N115" s="52">
        <v>16470</v>
      </c>
      <c r="O115" s="27"/>
      <c r="P115" s="27"/>
      <c r="Q115" s="27"/>
      <c r="R115" s="46">
        <v>4951.24</v>
      </c>
      <c r="S115" s="46">
        <v>1154.1399999999999</v>
      </c>
      <c r="T115" s="46">
        <f t="shared" si="66"/>
        <v>3797.1</v>
      </c>
      <c r="U115" s="46">
        <v>3817.4</v>
      </c>
      <c r="V115" s="46"/>
      <c r="W115" s="46"/>
      <c r="X115" s="46">
        <v>4254.8</v>
      </c>
      <c r="Y115" s="46"/>
      <c r="Z115" s="46">
        <f t="shared" si="73"/>
        <v>-457.70000000000027</v>
      </c>
      <c r="AA115" s="39">
        <f t="shared" si="74"/>
        <v>-0.12053935898448824</v>
      </c>
      <c r="AB115" s="73">
        <v>4037.94</v>
      </c>
      <c r="AC115" s="73"/>
      <c r="AD115" s="73"/>
      <c r="AE115" s="39"/>
      <c r="AF115" s="74"/>
      <c r="AG115" s="74"/>
      <c r="AH115" s="75"/>
      <c r="AI115" s="75">
        <f t="shared" si="67"/>
        <v>0</v>
      </c>
      <c r="AJ115" s="32"/>
      <c r="AK115" s="32"/>
      <c r="AL115" s="32"/>
      <c r="AM115" s="33"/>
      <c r="AN115" s="33"/>
      <c r="AO115" s="33"/>
      <c r="AP115" s="34">
        <f t="shared" si="68"/>
        <v>0</v>
      </c>
      <c r="AQ115" s="32">
        <f t="shared" si="69"/>
        <v>0</v>
      </c>
      <c r="AR115" s="32">
        <f t="shared" si="70"/>
        <v>0</v>
      </c>
      <c r="AS115" s="32"/>
      <c r="AT115" s="32"/>
      <c r="AU115" s="32"/>
      <c r="AV115" s="32"/>
      <c r="AW115" s="32"/>
      <c r="AX115" s="32"/>
      <c r="AY115" s="32"/>
      <c r="AZ115" s="35"/>
      <c r="BB115" s="45">
        <f t="shared" si="75"/>
        <v>4037.94</v>
      </c>
      <c r="BC115" s="45">
        <f t="shared" si="76"/>
        <v>4254.8</v>
      </c>
      <c r="BD115" s="45"/>
      <c r="BE115" s="45">
        <f t="shared" si="71"/>
        <v>-216.86000000000013</v>
      </c>
      <c r="BF115" s="39">
        <f t="shared" si="72"/>
        <v>-5.3705602361600255E-2</v>
      </c>
    </row>
    <row r="116" spans="1:58" s="20" customFormat="1" ht="12.75" x14ac:dyDescent="0.2">
      <c r="A116" s="21">
        <f>IF(ISBLANK(F116),"",COUNTA($F$6:F116))</f>
        <v>111</v>
      </c>
      <c r="B116" s="37" t="s">
        <v>60</v>
      </c>
      <c r="C116" s="37" t="s">
        <v>61</v>
      </c>
      <c r="D116" s="22"/>
      <c r="E116" s="23" t="s">
        <v>64</v>
      </c>
      <c r="F116" s="36">
        <v>46231</v>
      </c>
      <c r="G116" s="24" t="s">
        <v>59</v>
      </c>
      <c r="H116" s="24">
        <v>58</v>
      </c>
      <c r="I116" s="24">
        <v>1</v>
      </c>
      <c r="J116" s="24" t="s">
        <v>64</v>
      </c>
      <c r="K116" s="25">
        <v>162004355</v>
      </c>
      <c r="L116" s="26">
        <v>46231</v>
      </c>
      <c r="M116" s="38">
        <v>46232</v>
      </c>
      <c r="N116" s="52">
        <v>16469</v>
      </c>
      <c r="O116" s="27"/>
      <c r="P116" s="27"/>
      <c r="Q116" s="27"/>
      <c r="R116" s="46">
        <v>5088.46</v>
      </c>
      <c r="S116" s="46">
        <v>1194.46</v>
      </c>
      <c r="T116" s="46">
        <f t="shared" si="54"/>
        <v>3894</v>
      </c>
      <c r="U116" s="46">
        <v>3914.2</v>
      </c>
      <c r="V116" s="46"/>
      <c r="W116" s="46"/>
      <c r="X116" s="46">
        <v>3721</v>
      </c>
      <c r="Y116" s="46"/>
      <c r="Z116" s="46">
        <f t="shared" si="73"/>
        <v>173</v>
      </c>
      <c r="AA116" s="39">
        <f t="shared" si="74"/>
        <v>4.442732408834104E-2</v>
      </c>
      <c r="AB116" s="73">
        <v>3893.95</v>
      </c>
      <c r="AC116" s="73"/>
      <c r="AD116" s="73"/>
      <c r="AE116" s="39"/>
      <c r="AF116" s="74"/>
      <c r="AG116" s="74"/>
      <c r="AH116" s="75"/>
      <c r="AI116" s="75">
        <f t="shared" si="55"/>
        <v>0</v>
      </c>
      <c r="AJ116" s="32"/>
      <c r="AK116" s="32"/>
      <c r="AL116" s="32"/>
      <c r="AM116" s="33"/>
      <c r="AN116" s="33"/>
      <c r="AO116" s="33"/>
      <c r="AP116" s="34">
        <f t="shared" si="56"/>
        <v>0</v>
      </c>
      <c r="AQ116" s="32">
        <f t="shared" si="57"/>
        <v>0</v>
      </c>
      <c r="AR116" s="32">
        <f t="shared" si="58"/>
        <v>0</v>
      </c>
      <c r="AS116" s="32"/>
      <c r="AT116" s="32"/>
      <c r="AU116" s="32"/>
      <c r="AV116" s="32"/>
      <c r="AW116" s="32"/>
      <c r="AX116" s="32"/>
      <c r="AY116" s="32"/>
      <c r="AZ116" s="35"/>
      <c r="BB116" s="45">
        <f t="shared" si="75"/>
        <v>3893.95</v>
      </c>
      <c r="BC116" s="45">
        <f t="shared" si="76"/>
        <v>3721</v>
      </c>
      <c r="BD116" s="45"/>
      <c r="BE116" s="45">
        <f t="shared" si="23"/>
        <v>172.94999999999982</v>
      </c>
      <c r="BF116" s="39">
        <f t="shared" si="24"/>
        <v>4.4415054122420632E-2</v>
      </c>
    </row>
    <row r="117" spans="1:58" s="20" customFormat="1" ht="12.75" x14ac:dyDescent="0.2">
      <c r="A117" s="21">
        <f>IF(ISBLANK(F117),"",COUNTA($F$6:F117))</f>
        <v>112</v>
      </c>
      <c r="B117" s="37" t="s">
        <v>60</v>
      </c>
      <c r="C117" s="37" t="s">
        <v>61</v>
      </c>
      <c r="D117" s="22"/>
      <c r="E117" s="23" t="s">
        <v>65</v>
      </c>
      <c r="F117" s="36">
        <v>46231</v>
      </c>
      <c r="G117" s="24" t="s">
        <v>59</v>
      </c>
      <c r="H117" s="24">
        <v>58</v>
      </c>
      <c r="I117" s="24">
        <v>5</v>
      </c>
      <c r="J117" s="24" t="s">
        <v>67</v>
      </c>
      <c r="K117" s="25">
        <v>162011676</v>
      </c>
      <c r="L117" s="26">
        <v>46232</v>
      </c>
      <c r="M117" s="38">
        <v>46234</v>
      </c>
      <c r="N117" s="52">
        <v>16478</v>
      </c>
      <c r="O117" s="27"/>
      <c r="P117" s="27"/>
      <c r="Q117" s="27"/>
      <c r="R117" s="46">
        <v>4752.38</v>
      </c>
      <c r="S117" s="46">
        <v>1109.48</v>
      </c>
      <c r="T117" s="46">
        <f t="shared" si="54"/>
        <v>3642.9</v>
      </c>
      <c r="U117" s="46">
        <v>3689.8</v>
      </c>
      <c r="V117" s="46"/>
      <c r="W117" s="46"/>
      <c r="X117" s="46">
        <v>3866.4</v>
      </c>
      <c r="Y117" s="46"/>
      <c r="Z117" s="46">
        <f t="shared" si="73"/>
        <v>-223.5</v>
      </c>
      <c r="AA117" s="39">
        <f t="shared" si="74"/>
        <v>-6.1352219385654286E-2</v>
      </c>
      <c r="AB117" s="73">
        <v>4250.7</v>
      </c>
      <c r="AC117" s="73"/>
      <c r="AD117" s="73"/>
      <c r="AE117" s="39"/>
      <c r="AF117" s="74"/>
      <c r="AG117" s="74"/>
      <c r="AH117" s="75"/>
      <c r="AI117" s="75">
        <f t="shared" si="55"/>
        <v>0</v>
      </c>
      <c r="AJ117" s="32"/>
      <c r="AK117" s="32"/>
      <c r="AL117" s="32"/>
      <c r="AM117" s="33"/>
      <c r="AN117" s="33"/>
      <c r="AO117" s="33"/>
      <c r="AP117" s="34">
        <f t="shared" si="56"/>
        <v>0</v>
      </c>
      <c r="AQ117" s="32">
        <f t="shared" si="57"/>
        <v>0</v>
      </c>
      <c r="AR117" s="32">
        <f t="shared" si="58"/>
        <v>0</v>
      </c>
      <c r="AS117" s="32"/>
      <c r="AT117" s="32"/>
      <c r="AU117" s="32"/>
      <c r="AV117" s="32"/>
      <c r="AW117" s="32"/>
      <c r="AX117" s="32"/>
      <c r="AY117" s="32"/>
      <c r="AZ117" s="35"/>
      <c r="BB117" s="45">
        <f t="shared" si="75"/>
        <v>4250.7</v>
      </c>
      <c r="BC117" s="45">
        <f t="shared" si="76"/>
        <v>3866.4</v>
      </c>
      <c r="BD117" s="45"/>
      <c r="BE117" s="45">
        <f t="shared" ref="BE117:BE125" si="84">+BB117-BC117</f>
        <v>384.29999999999973</v>
      </c>
      <c r="BF117" s="39">
        <f t="shared" ref="BF117:BF125" si="85">+BE117/BB117</f>
        <v>9.040863857717546E-2</v>
      </c>
    </row>
    <row r="118" spans="1:58" s="20" customFormat="1" ht="12.75" x14ac:dyDescent="0.2">
      <c r="A118" s="21">
        <f>IF(ISBLANK(F118),"",COUNTA($F$6:F118))</f>
        <v>113</v>
      </c>
      <c r="B118" s="37" t="s">
        <v>60</v>
      </c>
      <c r="C118" s="37" t="s">
        <v>61</v>
      </c>
      <c r="D118" s="22"/>
      <c r="E118" s="23" t="s">
        <v>63</v>
      </c>
      <c r="F118" s="36">
        <v>46231</v>
      </c>
      <c r="G118" s="24" t="s">
        <v>59</v>
      </c>
      <c r="H118" s="24">
        <v>58</v>
      </c>
      <c r="I118" s="24">
        <v>2</v>
      </c>
      <c r="J118" s="24" t="s">
        <v>63</v>
      </c>
      <c r="K118" s="25">
        <v>162006360</v>
      </c>
      <c r="L118" s="26">
        <v>46231</v>
      </c>
      <c r="M118" s="38">
        <v>46233</v>
      </c>
      <c r="N118" s="52">
        <v>16472</v>
      </c>
      <c r="O118" s="27"/>
      <c r="P118" s="27"/>
      <c r="Q118" s="27"/>
      <c r="R118" s="46">
        <v>5017.1400000000003</v>
      </c>
      <c r="S118" s="46">
        <v>1175.3400000000001</v>
      </c>
      <c r="T118" s="46">
        <f t="shared" si="54"/>
        <v>3841.8</v>
      </c>
      <c r="U118" s="46">
        <v>3849.8</v>
      </c>
      <c r="V118" s="46"/>
      <c r="W118" s="46"/>
      <c r="X118" s="46">
        <v>3758</v>
      </c>
      <c r="Y118" s="46"/>
      <c r="Z118" s="46">
        <f t="shared" si="73"/>
        <v>83.800000000000182</v>
      </c>
      <c r="AA118" s="39">
        <f t="shared" si="74"/>
        <v>2.1812691967307039E-2</v>
      </c>
      <c r="AB118" s="73">
        <v>3841.8</v>
      </c>
      <c r="AC118" s="73"/>
      <c r="AD118" s="73"/>
      <c r="AE118" s="39"/>
      <c r="AF118" s="74"/>
      <c r="AG118" s="74"/>
      <c r="AH118" s="75"/>
      <c r="AI118" s="75">
        <f t="shared" si="55"/>
        <v>0</v>
      </c>
      <c r="AJ118" s="32"/>
      <c r="AK118" s="32"/>
      <c r="AL118" s="32"/>
      <c r="AM118" s="33"/>
      <c r="AN118" s="33"/>
      <c r="AO118" s="33"/>
      <c r="AP118" s="34">
        <f t="shared" si="56"/>
        <v>0</v>
      </c>
      <c r="AQ118" s="32">
        <f t="shared" si="57"/>
        <v>0</v>
      </c>
      <c r="AR118" s="32">
        <f t="shared" si="58"/>
        <v>0</v>
      </c>
      <c r="AS118" s="32"/>
      <c r="AT118" s="32"/>
      <c r="AU118" s="32"/>
      <c r="AV118" s="32"/>
      <c r="AW118" s="32"/>
      <c r="AX118" s="32"/>
      <c r="AY118" s="32"/>
      <c r="AZ118" s="35"/>
      <c r="BB118" s="45">
        <f t="shared" si="75"/>
        <v>3841.8</v>
      </c>
      <c r="BC118" s="45">
        <f t="shared" si="76"/>
        <v>3758</v>
      </c>
      <c r="BD118" s="45"/>
      <c r="BE118" s="45">
        <f t="shared" si="84"/>
        <v>83.800000000000182</v>
      </c>
      <c r="BF118" s="39">
        <f t="shared" si="85"/>
        <v>2.1812691967307039E-2</v>
      </c>
    </row>
    <row r="119" spans="1:58" s="20" customFormat="1" ht="12.75" x14ac:dyDescent="0.2">
      <c r="A119" s="21">
        <f>IF(ISBLANK(F119),"",COUNTA($F$6:F119))</f>
        <v>114</v>
      </c>
      <c r="B119" s="37" t="s">
        <v>60</v>
      </c>
      <c r="C119" s="37" t="s">
        <v>61</v>
      </c>
      <c r="D119" s="22"/>
      <c r="E119" s="23" t="s">
        <v>64</v>
      </c>
      <c r="F119" s="36">
        <v>46231</v>
      </c>
      <c r="G119" s="24" t="s">
        <v>59</v>
      </c>
      <c r="H119" s="24">
        <v>58</v>
      </c>
      <c r="I119" s="24">
        <v>2</v>
      </c>
      <c r="J119" s="24" t="s">
        <v>64</v>
      </c>
      <c r="K119" s="25">
        <v>162004357</v>
      </c>
      <c r="L119" s="26">
        <v>46232</v>
      </c>
      <c r="M119" s="38">
        <v>46233</v>
      </c>
      <c r="N119" s="52">
        <v>16473</v>
      </c>
      <c r="O119" s="27"/>
      <c r="P119" s="27"/>
      <c r="Q119" s="27"/>
      <c r="R119" s="46">
        <v>4999.3599999999997</v>
      </c>
      <c r="S119" s="46">
        <v>1178.5599999999995</v>
      </c>
      <c r="T119" s="46">
        <f t="shared" si="54"/>
        <v>3820.8</v>
      </c>
      <c r="U119" s="46">
        <v>3844.8</v>
      </c>
      <c r="V119" s="46"/>
      <c r="W119" s="46"/>
      <c r="X119" s="46">
        <v>3707</v>
      </c>
      <c r="Y119" s="46"/>
      <c r="Z119" s="46">
        <f t="shared" si="73"/>
        <v>113.80000000000018</v>
      </c>
      <c r="AA119" s="39">
        <f t="shared" si="74"/>
        <v>2.9784338358459006E-2</v>
      </c>
      <c r="AB119" s="73">
        <v>3820.8</v>
      </c>
      <c r="AC119" s="73"/>
      <c r="AD119" s="73"/>
      <c r="AE119" s="39"/>
      <c r="AF119" s="74"/>
      <c r="AG119" s="74"/>
      <c r="AH119" s="75"/>
      <c r="AI119" s="75">
        <f t="shared" si="55"/>
        <v>0</v>
      </c>
      <c r="AJ119" s="32"/>
      <c r="AK119" s="32"/>
      <c r="AL119" s="32"/>
      <c r="AM119" s="33"/>
      <c r="AN119" s="33"/>
      <c r="AO119" s="33"/>
      <c r="AP119" s="34">
        <f t="shared" si="56"/>
        <v>0</v>
      </c>
      <c r="AQ119" s="32">
        <f t="shared" si="57"/>
        <v>0</v>
      </c>
      <c r="AR119" s="32">
        <f t="shared" si="58"/>
        <v>0</v>
      </c>
      <c r="AS119" s="32"/>
      <c r="AT119" s="32"/>
      <c r="AU119" s="32"/>
      <c r="AV119" s="32"/>
      <c r="AW119" s="32"/>
      <c r="AX119" s="32"/>
      <c r="AY119" s="32"/>
      <c r="AZ119" s="35"/>
      <c r="BB119" s="45">
        <f t="shared" si="75"/>
        <v>3820.8</v>
      </c>
      <c r="BC119" s="45">
        <f t="shared" si="76"/>
        <v>3707</v>
      </c>
      <c r="BD119" s="45"/>
      <c r="BE119" s="45">
        <f t="shared" si="84"/>
        <v>113.80000000000018</v>
      </c>
      <c r="BF119" s="39">
        <f t="shared" si="85"/>
        <v>2.9784338358459006E-2</v>
      </c>
    </row>
    <row r="120" spans="1:58" s="20" customFormat="1" ht="12.75" x14ac:dyDescent="0.2">
      <c r="A120" s="21">
        <f>IF(ISBLANK(F120),"",COUNTA($F$6:F120))</f>
        <v>115</v>
      </c>
      <c r="B120" s="37" t="s">
        <v>60</v>
      </c>
      <c r="C120" s="37" t="s">
        <v>61</v>
      </c>
      <c r="D120" s="22"/>
      <c r="E120" s="23" t="s">
        <v>64</v>
      </c>
      <c r="F120" s="36">
        <v>46232</v>
      </c>
      <c r="G120" s="24" t="s">
        <v>59</v>
      </c>
      <c r="H120" s="24">
        <v>59</v>
      </c>
      <c r="I120" s="24">
        <v>4</v>
      </c>
      <c r="J120" s="24" t="s">
        <v>64</v>
      </c>
      <c r="K120" s="25">
        <v>162004358</v>
      </c>
      <c r="L120" s="26">
        <v>46232</v>
      </c>
      <c r="M120" s="38">
        <v>46233</v>
      </c>
      <c r="N120" s="52">
        <v>16474</v>
      </c>
      <c r="O120" s="27"/>
      <c r="P120" s="27"/>
      <c r="Q120" s="27"/>
      <c r="R120" s="46">
        <v>4897.42</v>
      </c>
      <c r="S120" s="46">
        <v>1169.02</v>
      </c>
      <c r="T120" s="46">
        <f t="shared" si="54"/>
        <v>3728.4</v>
      </c>
      <c r="U120" s="46">
        <v>3759.2</v>
      </c>
      <c r="V120" s="46"/>
      <c r="W120" s="46"/>
      <c r="X120" s="46">
        <v>3620.6</v>
      </c>
      <c r="Y120" s="46"/>
      <c r="Z120" s="46">
        <f t="shared" si="73"/>
        <v>107.80000000000018</v>
      </c>
      <c r="AA120" s="39">
        <f t="shared" si="74"/>
        <v>2.8913206737474568E-2</v>
      </c>
      <c r="AB120" s="73">
        <v>3728.4</v>
      </c>
      <c r="AC120" s="73"/>
      <c r="AD120" s="73"/>
      <c r="AE120" s="39"/>
      <c r="AF120" s="74"/>
      <c r="AG120" s="74"/>
      <c r="AH120" s="75"/>
      <c r="AI120" s="75">
        <f t="shared" si="55"/>
        <v>0</v>
      </c>
      <c r="AJ120" s="32"/>
      <c r="AK120" s="32"/>
      <c r="AL120" s="32"/>
      <c r="AM120" s="33"/>
      <c r="AN120" s="33"/>
      <c r="AO120" s="33"/>
      <c r="AP120" s="34">
        <f t="shared" si="56"/>
        <v>0</v>
      </c>
      <c r="AQ120" s="32">
        <f t="shared" si="57"/>
        <v>0</v>
      </c>
      <c r="AR120" s="32">
        <f t="shared" si="58"/>
        <v>0</v>
      </c>
      <c r="AS120" s="32"/>
      <c r="AT120" s="32"/>
      <c r="AU120" s="32"/>
      <c r="AV120" s="32"/>
      <c r="AW120" s="32"/>
      <c r="AX120" s="32"/>
      <c r="AY120" s="32"/>
      <c r="AZ120" s="35"/>
      <c r="BB120" s="45">
        <f t="shared" si="75"/>
        <v>3728.4</v>
      </c>
      <c r="BC120" s="45">
        <f t="shared" si="76"/>
        <v>3620.6</v>
      </c>
      <c r="BD120" s="45"/>
      <c r="BE120" s="45">
        <f t="shared" si="84"/>
        <v>107.80000000000018</v>
      </c>
      <c r="BF120" s="39">
        <f t="shared" si="85"/>
        <v>2.8913206737474568E-2</v>
      </c>
    </row>
    <row r="121" spans="1:58" s="20" customFormat="1" ht="12.75" x14ac:dyDescent="0.2">
      <c r="A121" s="21">
        <f>IF(ISBLANK(F121),"",COUNTA($F$6:F121))</f>
        <v>116</v>
      </c>
      <c r="B121" s="37" t="s">
        <v>60</v>
      </c>
      <c r="C121" s="37" t="s">
        <v>61</v>
      </c>
      <c r="D121" s="22"/>
      <c r="E121" s="23" t="s">
        <v>65</v>
      </c>
      <c r="F121" s="36">
        <v>46232</v>
      </c>
      <c r="G121" s="24" t="s">
        <v>59</v>
      </c>
      <c r="H121" s="24">
        <v>59</v>
      </c>
      <c r="I121" s="24">
        <v>1</v>
      </c>
      <c r="J121" s="24" t="s">
        <v>67</v>
      </c>
      <c r="K121" s="25">
        <v>162011677</v>
      </c>
      <c r="L121" s="26">
        <v>46232</v>
      </c>
      <c r="M121" s="38">
        <v>46233</v>
      </c>
      <c r="N121" s="52">
        <v>16476</v>
      </c>
      <c r="O121" s="27"/>
      <c r="P121" s="27"/>
      <c r="Q121" s="27"/>
      <c r="R121" s="46">
        <v>5209.8900000000003</v>
      </c>
      <c r="S121" s="46">
        <v>1230.2900000000004</v>
      </c>
      <c r="T121" s="46">
        <f t="shared" si="54"/>
        <v>3979.6</v>
      </c>
      <c r="U121" s="46">
        <v>4014.2</v>
      </c>
      <c r="V121" s="46"/>
      <c r="W121" s="46"/>
      <c r="X121" s="46">
        <v>4194.6000000000004</v>
      </c>
      <c r="Y121" s="46"/>
      <c r="Z121" s="46">
        <f t="shared" si="73"/>
        <v>-215.00000000000045</v>
      </c>
      <c r="AA121" s="39">
        <f t="shared" si="74"/>
        <v>-5.4025530204040724E-2</v>
      </c>
      <c r="AB121" s="73">
        <v>4018.52</v>
      </c>
      <c r="AC121" s="73"/>
      <c r="AD121" s="73"/>
      <c r="AE121" s="39"/>
      <c r="AF121" s="74"/>
      <c r="AG121" s="74"/>
      <c r="AH121" s="75"/>
      <c r="AI121" s="75">
        <f t="shared" si="55"/>
        <v>0</v>
      </c>
      <c r="AJ121" s="32"/>
      <c r="AK121" s="32"/>
      <c r="AL121" s="32"/>
      <c r="AM121" s="33"/>
      <c r="AN121" s="33"/>
      <c r="AO121" s="33"/>
      <c r="AP121" s="34">
        <f t="shared" si="56"/>
        <v>0</v>
      </c>
      <c r="AQ121" s="32">
        <f t="shared" si="57"/>
        <v>0</v>
      </c>
      <c r="AR121" s="32">
        <f t="shared" si="58"/>
        <v>0</v>
      </c>
      <c r="AS121" s="32"/>
      <c r="AT121" s="32"/>
      <c r="AU121" s="32"/>
      <c r="AV121" s="32"/>
      <c r="AW121" s="32"/>
      <c r="AX121" s="32"/>
      <c r="AY121" s="32"/>
      <c r="AZ121" s="35"/>
      <c r="BB121" s="45">
        <f t="shared" si="75"/>
        <v>4018.52</v>
      </c>
      <c r="BC121" s="45">
        <f t="shared" si="76"/>
        <v>4194.6000000000004</v>
      </c>
      <c r="BD121" s="45"/>
      <c r="BE121" s="45">
        <f t="shared" si="84"/>
        <v>-176.08000000000038</v>
      </c>
      <c r="BF121" s="39">
        <f t="shared" si="85"/>
        <v>-4.3817126703363525E-2</v>
      </c>
    </row>
    <row r="122" spans="1:58" s="20" customFormat="1" ht="12.75" x14ac:dyDescent="0.2">
      <c r="A122" s="21">
        <f>IF(ISBLANK(F122),"",COUNTA($F$6:F122))</f>
        <v>117</v>
      </c>
      <c r="B122" s="37" t="s">
        <v>60</v>
      </c>
      <c r="C122" s="37" t="s">
        <v>61</v>
      </c>
      <c r="D122" s="22"/>
      <c r="E122" s="23" t="s">
        <v>64</v>
      </c>
      <c r="F122" s="36">
        <v>46232</v>
      </c>
      <c r="G122" s="24" t="s">
        <v>59</v>
      </c>
      <c r="H122" s="24">
        <v>58</v>
      </c>
      <c r="I122" s="24">
        <v>0</v>
      </c>
      <c r="J122" s="24" t="s">
        <v>64</v>
      </c>
      <c r="K122" s="25">
        <v>162004360</v>
      </c>
      <c r="L122" s="26">
        <v>46232</v>
      </c>
      <c r="M122" s="38">
        <v>46233</v>
      </c>
      <c r="N122" s="52">
        <v>16477</v>
      </c>
      <c r="O122" s="27"/>
      <c r="P122" s="27"/>
      <c r="Q122" s="27"/>
      <c r="R122" s="46">
        <v>5176.43</v>
      </c>
      <c r="S122" s="46">
        <v>1219.4300000000003</v>
      </c>
      <c r="T122" s="46">
        <f t="shared" si="54"/>
        <v>3957</v>
      </c>
      <c r="U122" s="46">
        <v>3979.6</v>
      </c>
      <c r="V122" s="46"/>
      <c r="W122" s="46"/>
      <c r="X122" s="46">
        <v>3847.4</v>
      </c>
      <c r="Y122" s="46"/>
      <c r="Z122" s="46">
        <f t="shared" si="73"/>
        <v>109.59999999999991</v>
      </c>
      <c r="AA122" s="39">
        <f t="shared" si="74"/>
        <v>2.7697750821329265E-2</v>
      </c>
      <c r="AB122" s="73">
        <v>3956.95</v>
      </c>
      <c r="AC122" s="73"/>
      <c r="AD122" s="73"/>
      <c r="AE122" s="39"/>
      <c r="AF122" s="74"/>
      <c r="AG122" s="74"/>
      <c r="AH122" s="75"/>
      <c r="AI122" s="75">
        <f t="shared" si="55"/>
        <v>0</v>
      </c>
      <c r="AJ122" s="32"/>
      <c r="AK122" s="32"/>
      <c r="AL122" s="32"/>
      <c r="AM122" s="33"/>
      <c r="AN122" s="33"/>
      <c r="AO122" s="33"/>
      <c r="AP122" s="34">
        <f t="shared" si="56"/>
        <v>0</v>
      </c>
      <c r="AQ122" s="32">
        <f t="shared" si="57"/>
        <v>0</v>
      </c>
      <c r="AR122" s="32">
        <f t="shared" si="58"/>
        <v>0</v>
      </c>
      <c r="AS122" s="32"/>
      <c r="AT122" s="32"/>
      <c r="AU122" s="32"/>
      <c r="AV122" s="32"/>
      <c r="AW122" s="32"/>
      <c r="AX122" s="32"/>
      <c r="AY122" s="32"/>
      <c r="AZ122" s="35"/>
      <c r="BB122" s="45">
        <f t="shared" si="75"/>
        <v>3956.95</v>
      </c>
      <c r="BC122" s="45">
        <f t="shared" si="76"/>
        <v>3847.4</v>
      </c>
      <c r="BD122" s="45"/>
      <c r="BE122" s="45">
        <f t="shared" si="84"/>
        <v>109.54999999999973</v>
      </c>
      <c r="BF122" s="39">
        <f t="shared" si="85"/>
        <v>2.7685464815072149E-2</v>
      </c>
    </row>
    <row r="123" spans="1:58" s="20" customFormat="1" ht="12.75" x14ac:dyDescent="0.2">
      <c r="A123" s="21">
        <f>IF(ISBLANK(F123),"",COUNTA($F$6:F123))</f>
        <v>118</v>
      </c>
      <c r="B123" s="37" t="s">
        <v>60</v>
      </c>
      <c r="C123" s="37" t="s">
        <v>61</v>
      </c>
      <c r="D123" s="22"/>
      <c r="E123" s="23" t="s">
        <v>63</v>
      </c>
      <c r="F123" s="36">
        <v>46232</v>
      </c>
      <c r="G123" s="24" t="s">
        <v>59</v>
      </c>
      <c r="H123" s="24">
        <v>58</v>
      </c>
      <c r="I123" s="24">
        <v>1</v>
      </c>
      <c r="J123" s="24" t="s">
        <v>63</v>
      </c>
      <c r="K123" s="25">
        <v>162006364</v>
      </c>
      <c r="L123" s="26">
        <v>46233</v>
      </c>
      <c r="M123" s="38">
        <v>46234</v>
      </c>
      <c r="N123" s="52">
        <v>16479</v>
      </c>
      <c r="O123" s="27"/>
      <c r="P123" s="27"/>
      <c r="Q123" s="27"/>
      <c r="R123" s="46">
        <v>5114.93</v>
      </c>
      <c r="S123" s="46">
        <v>1185.3300000000004</v>
      </c>
      <c r="T123" s="46">
        <f t="shared" si="54"/>
        <v>3929.6</v>
      </c>
      <c r="U123" s="46">
        <v>3933</v>
      </c>
      <c r="V123" s="46"/>
      <c r="W123" s="46"/>
      <c r="X123" s="46">
        <v>3829.6</v>
      </c>
      <c r="Y123" s="46"/>
      <c r="Z123" s="46">
        <f t="shared" si="73"/>
        <v>100</v>
      </c>
      <c r="AA123" s="39">
        <f t="shared" si="74"/>
        <v>2.5447882736156353E-2</v>
      </c>
      <c r="AB123" s="73">
        <v>3929.6</v>
      </c>
      <c r="AC123" s="73"/>
      <c r="AD123" s="73"/>
      <c r="AE123" s="39"/>
      <c r="AF123" s="74"/>
      <c r="AG123" s="74"/>
      <c r="AH123" s="75"/>
      <c r="AI123" s="75">
        <f t="shared" si="55"/>
        <v>0</v>
      </c>
      <c r="AJ123" s="32"/>
      <c r="AK123" s="32"/>
      <c r="AL123" s="32"/>
      <c r="AM123" s="33"/>
      <c r="AN123" s="33"/>
      <c r="AO123" s="33"/>
      <c r="AP123" s="34">
        <f t="shared" si="56"/>
        <v>0</v>
      </c>
      <c r="AQ123" s="32">
        <f t="shared" si="57"/>
        <v>0</v>
      </c>
      <c r="AR123" s="32">
        <f t="shared" si="58"/>
        <v>0</v>
      </c>
      <c r="AS123" s="32"/>
      <c r="AT123" s="32"/>
      <c r="AU123" s="32"/>
      <c r="AV123" s="32"/>
      <c r="AW123" s="32"/>
      <c r="AX123" s="32"/>
      <c r="AY123" s="32"/>
      <c r="AZ123" s="35"/>
      <c r="BB123" s="45">
        <f t="shared" si="75"/>
        <v>3929.6</v>
      </c>
      <c r="BC123" s="45">
        <f t="shared" si="76"/>
        <v>3829.6</v>
      </c>
      <c r="BD123" s="45"/>
      <c r="BE123" s="45">
        <f t="shared" si="84"/>
        <v>100</v>
      </c>
      <c r="BF123" s="39">
        <f t="shared" si="85"/>
        <v>2.5447882736156353E-2</v>
      </c>
    </row>
    <row r="124" spans="1:58" s="20" customFormat="1" ht="12.75" x14ac:dyDescent="0.2">
      <c r="A124" s="21">
        <f>IF(ISBLANK(F124),"",COUNTA($F$6:F124))</f>
        <v>119</v>
      </c>
      <c r="B124" s="37" t="s">
        <v>60</v>
      </c>
      <c r="C124" s="37" t="s">
        <v>61</v>
      </c>
      <c r="D124" s="22"/>
      <c r="E124" s="23" t="s">
        <v>65</v>
      </c>
      <c r="F124" s="36">
        <v>46232</v>
      </c>
      <c r="G124" s="24" t="s">
        <v>59</v>
      </c>
      <c r="H124" s="24">
        <v>59</v>
      </c>
      <c r="I124" s="24">
        <v>1</v>
      </c>
      <c r="J124" s="24" t="s">
        <v>67</v>
      </c>
      <c r="K124" s="25">
        <v>162011679</v>
      </c>
      <c r="L124" s="26">
        <v>46233</v>
      </c>
      <c r="M124" s="38">
        <v>46234</v>
      </c>
      <c r="N124" s="52">
        <v>16480</v>
      </c>
      <c r="O124" s="27"/>
      <c r="P124" s="27"/>
      <c r="Q124" s="27"/>
      <c r="R124" s="46">
        <v>5216.71</v>
      </c>
      <c r="S124" s="46">
        <v>1216.1100000000001</v>
      </c>
      <c r="T124" s="46">
        <f t="shared" ref="T124" si="86">+R124-S124</f>
        <v>4000.6</v>
      </c>
      <c r="U124" s="46">
        <v>4028</v>
      </c>
      <c r="V124" s="46"/>
      <c r="W124" s="46"/>
      <c r="X124" s="46">
        <v>4235.3999999999996</v>
      </c>
      <c r="Y124" s="46"/>
      <c r="Z124" s="46">
        <f t="shared" si="73"/>
        <v>-234.79999999999973</v>
      </c>
      <c r="AA124" s="39">
        <f t="shared" si="74"/>
        <v>-5.869119632055185E-2</v>
      </c>
      <c r="AB124" s="73">
        <v>4179.46</v>
      </c>
      <c r="AC124" s="73"/>
      <c r="AD124" s="73"/>
      <c r="AE124" s="39"/>
      <c r="AF124" s="74"/>
      <c r="AG124" s="74"/>
      <c r="AH124" s="75"/>
      <c r="AI124" s="75">
        <f t="shared" ref="AI124" si="87">+AG124+AH124</f>
        <v>0</v>
      </c>
      <c r="AJ124" s="32"/>
      <c r="AK124" s="32"/>
      <c r="AL124" s="32"/>
      <c r="AM124" s="33"/>
      <c r="AN124" s="33"/>
      <c r="AO124" s="33"/>
      <c r="AP124" s="34">
        <f t="shared" ref="AP124" si="88">ROUNDUP((AO124-AM124+(AO124&lt;AM124))*24,0)</f>
        <v>0</v>
      </c>
      <c r="AQ124" s="32">
        <f t="shared" ref="AQ124" si="89">IF(AP124&gt;5,(AP124-5),0)</f>
        <v>0</v>
      </c>
      <c r="AR124" s="32">
        <f t="shared" ref="AR124" si="90">+AQ124*8850</f>
        <v>0</v>
      </c>
      <c r="AS124" s="32"/>
      <c r="AT124" s="32"/>
      <c r="AU124" s="32"/>
      <c r="AV124" s="32"/>
      <c r="AW124" s="32"/>
      <c r="AX124" s="32"/>
      <c r="AY124" s="32"/>
      <c r="AZ124" s="35"/>
      <c r="BB124" s="45">
        <f t="shared" si="75"/>
        <v>4179.46</v>
      </c>
      <c r="BC124" s="45">
        <f t="shared" si="76"/>
        <v>4235.3999999999996</v>
      </c>
      <c r="BD124" s="45"/>
      <c r="BE124" s="45">
        <f t="shared" ref="BE124" si="91">+BB124-BC124</f>
        <v>-55.9399999999996</v>
      </c>
      <c r="BF124" s="39">
        <f t="shared" ref="BF124" si="92">+BE124/BB124</f>
        <v>-1.3384504218248194E-2</v>
      </c>
    </row>
    <row r="125" spans="1:58" s="20" customFormat="1" ht="12.75" x14ac:dyDescent="0.2">
      <c r="A125" s="21" t="str">
        <f>IF(ISBLANK(F125),"",COUNTA($F$6:F125))</f>
        <v/>
      </c>
      <c r="B125" s="37" t="s">
        <v>60</v>
      </c>
      <c r="C125" s="37" t="s">
        <v>61</v>
      </c>
      <c r="D125" s="22"/>
      <c r="E125" s="23"/>
      <c r="F125" s="36"/>
      <c r="G125" s="24"/>
      <c r="H125" s="24"/>
      <c r="I125" s="24"/>
      <c r="J125" s="24"/>
      <c r="K125" s="25"/>
      <c r="L125" s="26"/>
      <c r="M125" s="38"/>
      <c r="N125" s="52"/>
      <c r="O125" s="27"/>
      <c r="P125" s="27"/>
      <c r="Q125" s="27"/>
      <c r="R125" s="28"/>
      <c r="S125" s="28"/>
      <c r="T125" s="46">
        <f t="shared" si="54"/>
        <v>0</v>
      </c>
      <c r="U125" s="28"/>
      <c r="V125" s="28"/>
      <c r="W125" s="28"/>
      <c r="X125" s="28"/>
      <c r="Y125" s="28"/>
      <c r="Z125" s="28">
        <f t="shared" si="73"/>
        <v>0</v>
      </c>
      <c r="AA125" s="29" t="e">
        <f t="shared" si="74"/>
        <v>#DIV/0!</v>
      </c>
      <c r="AB125" s="40"/>
      <c r="AC125" s="40"/>
      <c r="AD125" s="40"/>
      <c r="AE125" s="29"/>
      <c r="AF125" s="30"/>
      <c r="AG125" s="30"/>
      <c r="AH125" s="31"/>
      <c r="AI125" s="31">
        <f t="shared" si="55"/>
        <v>0</v>
      </c>
      <c r="AJ125" s="32"/>
      <c r="AK125" s="32"/>
      <c r="AL125" s="32"/>
      <c r="AM125" s="33"/>
      <c r="AN125" s="33"/>
      <c r="AO125" s="33"/>
      <c r="AP125" s="34">
        <f t="shared" si="56"/>
        <v>0</v>
      </c>
      <c r="AQ125" s="32">
        <f t="shared" si="57"/>
        <v>0</v>
      </c>
      <c r="AR125" s="32">
        <f t="shared" si="58"/>
        <v>0</v>
      </c>
      <c r="AS125" s="32"/>
      <c r="AT125" s="32"/>
      <c r="AU125" s="32"/>
      <c r="AV125" s="32"/>
      <c r="AW125" s="32"/>
      <c r="AX125" s="32"/>
      <c r="AY125" s="32"/>
      <c r="AZ125" s="35"/>
      <c r="BB125" s="45">
        <f t="shared" si="75"/>
        <v>0</v>
      </c>
      <c r="BC125" s="45">
        <f t="shared" si="76"/>
        <v>0</v>
      </c>
      <c r="BD125" s="45"/>
      <c r="BE125" s="45">
        <f t="shared" si="84"/>
        <v>0</v>
      </c>
      <c r="BF125" s="39" t="e">
        <f t="shared" si="85"/>
        <v>#DIV/0!</v>
      </c>
    </row>
    <row r="126" spans="1:58" s="20" customFormat="1" ht="12.75" x14ac:dyDescent="0.2">
      <c r="A126" s="21" t="str">
        <f>IF(ISBLANK(F126),"",COUNTA($F$6:F126))</f>
        <v/>
      </c>
      <c r="B126" s="37" t="s">
        <v>60</v>
      </c>
      <c r="C126" s="37" t="s">
        <v>61</v>
      </c>
      <c r="D126" s="22"/>
      <c r="E126" s="23"/>
      <c r="F126" s="36"/>
      <c r="G126" s="24"/>
      <c r="H126" s="24"/>
      <c r="I126" s="24"/>
      <c r="J126" s="24"/>
      <c r="K126" s="25"/>
      <c r="L126" s="26"/>
      <c r="M126" s="38"/>
      <c r="N126" s="52"/>
      <c r="O126" s="27"/>
      <c r="P126" s="27"/>
      <c r="Q126" s="27"/>
      <c r="R126" s="28"/>
      <c r="S126" s="28"/>
      <c r="T126" s="46">
        <f t="shared" ref="T126" si="93">+R126-S126</f>
        <v>0</v>
      </c>
      <c r="U126" s="28"/>
      <c r="V126" s="28"/>
      <c r="W126" s="28"/>
      <c r="X126" s="28"/>
      <c r="Y126" s="28"/>
      <c r="Z126" s="28">
        <f t="shared" si="73"/>
        <v>0</v>
      </c>
      <c r="AA126" s="29" t="e">
        <f t="shared" si="74"/>
        <v>#DIV/0!</v>
      </c>
      <c r="AB126" s="40"/>
      <c r="AC126" s="40"/>
      <c r="AD126" s="40"/>
      <c r="AE126" s="29"/>
      <c r="AF126" s="30"/>
      <c r="AG126" s="30"/>
      <c r="AH126" s="31"/>
      <c r="AI126" s="31">
        <f t="shared" ref="AI126" si="94">+AG126+AH126</f>
        <v>0</v>
      </c>
      <c r="AJ126" s="32"/>
      <c r="AK126" s="32"/>
      <c r="AL126" s="32"/>
      <c r="AM126" s="33"/>
      <c r="AN126" s="33"/>
      <c r="AO126" s="33"/>
      <c r="AP126" s="34">
        <f t="shared" ref="AP126" si="95">ROUNDUP((AO126-AM126+(AO126&lt;AM126))*24,0)</f>
        <v>0</v>
      </c>
      <c r="AQ126" s="32">
        <f t="shared" ref="AQ126" si="96">IF(AP126&gt;5,(AP126-5),0)</f>
        <v>0</v>
      </c>
      <c r="AR126" s="32">
        <f t="shared" ref="AR126" si="97">+AQ126*8850</f>
        <v>0</v>
      </c>
      <c r="AS126" s="32"/>
      <c r="AT126" s="32"/>
      <c r="AU126" s="32"/>
      <c r="AV126" s="32"/>
      <c r="AW126" s="32"/>
      <c r="AX126" s="32"/>
      <c r="AY126" s="32"/>
      <c r="AZ126" s="35"/>
      <c r="BB126" s="45">
        <f t="shared" si="75"/>
        <v>0</v>
      </c>
      <c r="BC126" s="45">
        <f t="shared" si="76"/>
        <v>0</v>
      </c>
      <c r="BD126" s="45"/>
      <c r="BE126" s="45">
        <f t="shared" si="16"/>
        <v>0</v>
      </c>
      <c r="BF126" s="39" t="e">
        <f t="shared" si="17"/>
        <v>#DIV/0!</v>
      </c>
    </row>
    <row r="127" spans="1:58" ht="15.75" thickBot="1" x14ac:dyDescent="0.3">
      <c r="A127" s="9">
        <f>+COUNT(A6:A126)</f>
        <v>119</v>
      </c>
      <c r="B127" s="10">
        <f>+COUNTIF(X6:X126,"&gt;0")</f>
        <v>119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M127" s="10"/>
      <c r="N127" s="10"/>
      <c r="O127" s="10"/>
      <c r="P127" s="10"/>
      <c r="Q127" s="10"/>
      <c r="R127" s="12">
        <f t="shared" ref="R127:Y127" si="98">SUM(R6:R126)</f>
        <v>604447.67000000004</v>
      </c>
      <c r="S127" s="12">
        <f t="shared" si="98"/>
        <v>141388.26999999996</v>
      </c>
      <c r="T127" s="12">
        <f t="shared" si="98"/>
        <v>463059.39999999979</v>
      </c>
      <c r="U127" s="12">
        <f t="shared" si="98"/>
        <v>465775.19999999995</v>
      </c>
      <c r="V127" s="12">
        <f t="shared" si="98"/>
        <v>10488.599999999999</v>
      </c>
      <c r="W127" s="12">
        <f t="shared" si="98"/>
        <v>2481.8000000000002</v>
      </c>
      <c r="X127" s="12">
        <f t="shared" si="98"/>
        <v>457939.86000000028</v>
      </c>
      <c r="Y127" s="12">
        <f t="shared" si="98"/>
        <v>0</v>
      </c>
      <c r="Z127" s="12">
        <f>T127-X127</f>
        <v>5119.5399999995134</v>
      </c>
      <c r="AA127" s="13">
        <f t="shared" si="74"/>
        <v>1.105590341109481E-2</v>
      </c>
      <c r="AB127" s="41"/>
      <c r="AC127" s="41"/>
      <c r="AD127" s="41"/>
      <c r="AE127" s="13"/>
      <c r="AF127" s="12">
        <f>SUM(AF6:AF126)</f>
        <v>0</v>
      </c>
      <c r="AG127" s="12">
        <f>SUM(AG6:AG126)</f>
        <v>0</v>
      </c>
      <c r="AH127" s="12">
        <f>SUM(AH6:AH126)</f>
        <v>0</v>
      </c>
      <c r="AI127" s="12">
        <f>SUM(AI6:AI126)</f>
        <v>0</v>
      </c>
      <c r="AJ127" s="14"/>
      <c r="AK127" s="14"/>
      <c r="AL127" s="12"/>
      <c r="AM127" s="15"/>
      <c r="AN127" s="16"/>
      <c r="AO127" s="16"/>
      <c r="AP127" s="17"/>
      <c r="AQ127" s="10">
        <f>SUM(AQ6:AQ126)</f>
        <v>0</v>
      </c>
      <c r="AR127" s="18">
        <f>SUM(AR6:AR126)</f>
        <v>0</v>
      </c>
      <c r="AS127" s="10">
        <f>SUM(AS6:AS126)</f>
        <v>0</v>
      </c>
      <c r="AT127" s="10">
        <f>SUM(AT6:AT126)</f>
        <v>0</v>
      </c>
      <c r="AU127" s="10">
        <f>SUM(AU6:AU126)</f>
        <v>0</v>
      </c>
      <c r="AV127" s="10">
        <f>+SUM(AV6:AV126)</f>
        <v>0</v>
      </c>
      <c r="AW127" s="10">
        <f>SUM(AW6:AW126)</f>
        <v>0</v>
      </c>
      <c r="AX127" s="10">
        <f>SUM(AX6:AX126)</f>
        <v>0</v>
      </c>
      <c r="AY127" s="10">
        <f>SUM(AY6:AY126)</f>
        <v>0</v>
      </c>
      <c r="AZ127" s="19"/>
      <c r="BB127" s="42">
        <f>SUM(BB6:BB126)</f>
        <v>465373.19999999978</v>
      </c>
      <c r="BC127" s="42">
        <f>SUM(BC6:BC126)</f>
        <v>457939.86000000028</v>
      </c>
      <c r="BD127" s="42">
        <f>SUM(BD6:BD126)</f>
        <v>0</v>
      </c>
      <c r="BE127" s="42">
        <f>SUM(BE6:BE126)</f>
        <v>7433.3400000000029</v>
      </c>
      <c r="BF127" s="43">
        <f t="shared" ref="BF127" si="99">+BE127/BB127</f>
        <v>1.597285791274617E-2</v>
      </c>
    </row>
  </sheetData>
  <conditionalFormatting sqref="K126">
    <cfRule type="duplicateValues" dxfId="100" priority="747"/>
  </conditionalFormatting>
  <conditionalFormatting sqref="K6 K24">
    <cfRule type="duplicateValues" dxfId="99" priority="748"/>
  </conditionalFormatting>
  <conditionalFormatting sqref="K7:K23">
    <cfRule type="duplicateValues" dxfId="98" priority="750"/>
  </conditionalFormatting>
  <conditionalFormatting sqref="K126 K6:K24">
    <cfRule type="duplicateValues" dxfId="97" priority="751"/>
    <cfRule type="duplicateValues" dxfId="96" priority="752"/>
  </conditionalFormatting>
  <conditionalFormatting sqref="K25:K31 K54:K57">
    <cfRule type="duplicateValues" dxfId="95" priority="755"/>
  </conditionalFormatting>
  <conditionalFormatting sqref="K25:K31 K54:K57">
    <cfRule type="duplicateValues" dxfId="94" priority="757"/>
    <cfRule type="duplicateValues" dxfId="93" priority="758"/>
  </conditionalFormatting>
  <conditionalFormatting sqref="K27:K53">
    <cfRule type="duplicateValues" dxfId="92" priority="761"/>
  </conditionalFormatting>
  <conditionalFormatting sqref="K27:K53">
    <cfRule type="duplicateValues" dxfId="91" priority="762"/>
    <cfRule type="duplicateValues" dxfId="90" priority="763"/>
  </conditionalFormatting>
  <conditionalFormatting sqref="K126 K6:K57">
    <cfRule type="duplicateValues" dxfId="89" priority="764"/>
  </conditionalFormatting>
  <conditionalFormatting sqref="K58:K62 K72:K75">
    <cfRule type="duplicateValues" dxfId="88" priority="766"/>
  </conditionalFormatting>
  <conditionalFormatting sqref="K58:K62 K72:K75">
    <cfRule type="duplicateValues" dxfId="87" priority="768"/>
    <cfRule type="duplicateValues" dxfId="86" priority="769"/>
  </conditionalFormatting>
  <conditionalFormatting sqref="K58:K62">
    <cfRule type="duplicateValues" dxfId="85" priority="772"/>
  </conditionalFormatting>
  <conditionalFormatting sqref="K126 K5:K62 K72:K75">
    <cfRule type="duplicateValues" dxfId="84" priority="773"/>
  </conditionalFormatting>
  <conditionalFormatting sqref="K63:K71">
    <cfRule type="duplicateValues" dxfId="83" priority="776"/>
  </conditionalFormatting>
  <conditionalFormatting sqref="K63:K71">
    <cfRule type="duplicateValues" dxfId="82" priority="777"/>
    <cfRule type="duplicateValues" dxfId="81" priority="778"/>
  </conditionalFormatting>
  <conditionalFormatting sqref="K126 K5:K75">
    <cfRule type="duplicateValues" dxfId="80" priority="779"/>
  </conditionalFormatting>
  <conditionalFormatting sqref="K76:K79 K90:K92 K116">
    <cfRule type="duplicateValues" dxfId="79" priority="781"/>
  </conditionalFormatting>
  <conditionalFormatting sqref="K76:K79 K90:K92 K116">
    <cfRule type="duplicateValues" dxfId="78" priority="784"/>
    <cfRule type="duplicateValues" dxfId="77" priority="785"/>
  </conditionalFormatting>
  <conditionalFormatting sqref="K76:K79">
    <cfRule type="duplicateValues" dxfId="76" priority="790"/>
  </conditionalFormatting>
  <conditionalFormatting sqref="K80:K89">
    <cfRule type="duplicateValues" dxfId="75" priority="791"/>
  </conditionalFormatting>
  <conditionalFormatting sqref="K80:K89">
    <cfRule type="duplicateValues" dxfId="74" priority="792"/>
    <cfRule type="duplicateValues" dxfId="73" priority="793"/>
  </conditionalFormatting>
  <conditionalFormatting sqref="K126:K127 K5:K92 K116">
    <cfRule type="duplicateValues" dxfId="72" priority="794"/>
  </conditionalFormatting>
  <conditionalFormatting sqref="K99:K113 K115">
    <cfRule type="duplicateValues" dxfId="71" priority="797"/>
  </conditionalFormatting>
  <conditionalFormatting sqref="K99:K113 K115">
    <cfRule type="duplicateValues" dxfId="70" priority="799"/>
    <cfRule type="duplicateValues" dxfId="69" priority="800"/>
  </conditionalFormatting>
  <conditionalFormatting sqref="K93:K98">
    <cfRule type="duplicateValues" dxfId="68" priority="803"/>
  </conditionalFormatting>
  <conditionalFormatting sqref="K93:K98">
    <cfRule type="duplicateValues" dxfId="67" priority="804"/>
    <cfRule type="duplicateValues" dxfId="66" priority="805"/>
  </conditionalFormatting>
  <conditionalFormatting sqref="K126:K127 K5:K113 K115:K116">
    <cfRule type="duplicateValues" dxfId="65" priority="806"/>
  </conditionalFormatting>
  <conditionalFormatting sqref="K114">
    <cfRule type="duplicateValues" dxfId="64" priority="809"/>
  </conditionalFormatting>
  <conditionalFormatting sqref="K114">
    <cfRule type="duplicateValues" dxfId="63" priority="810"/>
    <cfRule type="duplicateValues" dxfId="62" priority="811"/>
  </conditionalFormatting>
  <conditionalFormatting sqref="K126:K127 K5:K116">
    <cfRule type="duplicateValues" dxfId="61" priority="812"/>
  </conditionalFormatting>
  <conditionalFormatting sqref="K117:K123 K125">
    <cfRule type="duplicateValues" dxfId="60" priority="843"/>
  </conditionalFormatting>
  <conditionalFormatting sqref="K117:K123 K125">
    <cfRule type="duplicateValues" dxfId="59" priority="845"/>
    <cfRule type="duplicateValues" dxfId="58" priority="846"/>
  </conditionalFormatting>
  <conditionalFormatting sqref="K5:K123 K125:K127">
    <cfRule type="duplicateValues" dxfId="57" priority="849"/>
  </conditionalFormatting>
  <conditionalFormatting sqref="K124">
    <cfRule type="duplicateValues" dxfId="56" priority="851"/>
  </conditionalFormatting>
  <conditionalFormatting sqref="K124">
    <cfRule type="duplicateValues" dxfId="55" priority="852"/>
    <cfRule type="duplicateValues" dxfId="54" priority="853"/>
  </conditionalFormatting>
  <conditionalFormatting sqref="K5:K127">
    <cfRule type="duplicateValues" dxfId="53" priority="854"/>
  </conditionalFormatting>
  <conditionalFormatting sqref="BB6:BB126">
    <cfRule type="expression" dxfId="52" priority="1018">
      <formula>$AC6&lt;&gt;""</formula>
    </cfRule>
    <cfRule type="expression" dxfId="51" priority="1019">
      <formula>$AB6&lt;&gt;""</formula>
    </cfRule>
    <cfRule type="expression" dxfId="50" priority="1020">
      <formula>$T6&lt;&gt;0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C2CF5-E587-4B95-9659-4BA38F5371D8}">
  <dimension ref="A1:BF90"/>
  <sheetViews>
    <sheetView tabSelected="1" workbookViewId="0">
      <pane xSplit="11" ySplit="5" topLeftCell="T6" activePane="bottomRight" state="frozen"/>
      <selection pane="topRight" activeCell="L1" sqref="L1"/>
      <selection pane="bottomLeft" activeCell="A3" sqref="A3"/>
      <selection pane="bottomRight" activeCell="B5" sqref="B5"/>
    </sheetView>
  </sheetViews>
  <sheetFormatPr defaultRowHeight="15" x14ac:dyDescent="0.25"/>
  <cols>
    <col min="1" max="1" width="6.42578125" bestFit="1" customWidth="1"/>
    <col min="2" max="2" width="14.28515625" customWidth="1"/>
    <col min="3" max="3" width="11" customWidth="1"/>
    <col min="4" max="4" width="11" hidden="1" customWidth="1"/>
    <col min="5" max="5" width="10.5703125" bestFit="1" customWidth="1"/>
    <col min="6" max="6" width="11.28515625" customWidth="1"/>
    <col min="7" max="7" width="9.42578125" bestFit="1" customWidth="1"/>
    <col min="8" max="8" width="9.28515625" bestFit="1" customWidth="1"/>
    <col min="9" max="9" width="8.140625" bestFit="1" customWidth="1"/>
    <col min="11" max="11" width="10" bestFit="1" customWidth="1"/>
    <col min="12" max="12" width="10.42578125" customWidth="1"/>
    <col min="13" max="14" width="11" customWidth="1"/>
    <col min="15" max="15" width="7.28515625" hidden="1" customWidth="1"/>
    <col min="16" max="17" width="9.28515625" hidden="1" customWidth="1"/>
    <col min="18" max="18" width="9.28515625" customWidth="1"/>
    <col min="19" max="19" width="9" customWidth="1"/>
    <col min="20" max="20" width="12.42578125" customWidth="1"/>
    <col min="21" max="23" width="9" customWidth="1"/>
    <col min="24" max="24" width="12.42578125" customWidth="1"/>
    <col min="25" max="25" width="9" hidden="1" customWidth="1"/>
    <col min="26" max="26" width="9.85546875" customWidth="1"/>
    <col min="27" max="29" width="10.28515625" customWidth="1"/>
    <col min="30" max="31" width="10.28515625" hidden="1" customWidth="1"/>
    <col min="32" max="32" width="8" hidden="1" customWidth="1"/>
    <col min="33" max="33" width="9" hidden="1" customWidth="1"/>
    <col min="34" max="34" width="8.42578125" hidden="1" customWidth="1"/>
    <col min="35" max="35" width="9.42578125" hidden="1" customWidth="1"/>
    <col min="36" max="36" width="9.140625" hidden="1" customWidth="1"/>
    <col min="37" max="37" width="7.5703125" hidden="1" customWidth="1"/>
    <col min="38" max="38" width="9.140625" hidden="1" customWidth="1"/>
    <col min="39" max="39" width="7.5703125" hidden="1" customWidth="1"/>
    <col min="40" max="40" width="10.7109375" hidden="1" customWidth="1"/>
    <col min="41" max="41" width="11.42578125" hidden="1" customWidth="1"/>
    <col min="42" max="42" width="10.7109375" hidden="1" customWidth="1"/>
    <col min="43" max="43" width="6.140625" hidden="1" customWidth="1"/>
    <col min="44" max="44" width="7.85546875" hidden="1" customWidth="1"/>
    <col min="45" max="45" width="3.7109375" hidden="1" customWidth="1"/>
    <col min="46" max="47" width="7.5703125" hidden="1" customWidth="1"/>
    <col min="48" max="48" width="7.42578125" hidden="1" customWidth="1"/>
    <col min="49" max="49" width="7.140625" hidden="1" customWidth="1"/>
    <col min="50" max="50" width="8.42578125" hidden="1" customWidth="1"/>
    <col min="51" max="51" width="8.7109375" hidden="1" customWidth="1"/>
    <col min="53" max="53" width="1.42578125" customWidth="1"/>
    <col min="56" max="56" width="9.140625" hidden="1" customWidth="1"/>
  </cols>
  <sheetData>
    <row r="1" spans="1:58" x14ac:dyDescent="0.25">
      <c r="A1" s="48"/>
      <c r="BB1" s="49"/>
      <c r="BC1" t="s">
        <v>58</v>
      </c>
    </row>
    <row r="2" spans="1:58" x14ac:dyDescent="0.25">
      <c r="A2" s="48"/>
      <c r="BB2" s="50"/>
      <c r="BC2" t="s">
        <v>54</v>
      </c>
    </row>
    <row r="3" spans="1:58" x14ac:dyDescent="0.25">
      <c r="A3" s="48"/>
      <c r="BB3" s="51"/>
      <c r="BC3" t="s">
        <v>57</v>
      </c>
    </row>
    <row r="4" spans="1:58" ht="15.75" thickBot="1" x14ac:dyDescent="0.3">
      <c r="A4" s="47"/>
    </row>
    <row r="5" spans="1:58" s="1" customFormat="1" ht="39" thickBot="1" x14ac:dyDescent="0.25">
      <c r="A5" s="2" t="s">
        <v>0</v>
      </c>
      <c r="B5" s="3" t="s">
        <v>44</v>
      </c>
      <c r="C5" s="3" t="s">
        <v>2</v>
      </c>
      <c r="D5" s="3" t="s">
        <v>46</v>
      </c>
      <c r="E5" s="4" t="s">
        <v>3</v>
      </c>
      <c r="F5" s="4" t="s">
        <v>1</v>
      </c>
      <c r="G5" s="4" t="s">
        <v>4</v>
      </c>
      <c r="H5" s="4" t="s">
        <v>5</v>
      </c>
      <c r="I5" s="4" t="s">
        <v>6</v>
      </c>
      <c r="J5" s="4" t="s">
        <v>7</v>
      </c>
      <c r="K5" s="3" t="s">
        <v>8</v>
      </c>
      <c r="L5" s="5" t="s">
        <v>9</v>
      </c>
      <c r="M5" s="4" t="s">
        <v>10</v>
      </c>
      <c r="N5" s="4" t="s">
        <v>42</v>
      </c>
      <c r="O5" s="4" t="s">
        <v>11</v>
      </c>
      <c r="P5" s="4" t="s">
        <v>12</v>
      </c>
      <c r="Q5" s="4" t="s">
        <v>41</v>
      </c>
      <c r="R5" s="4" t="s">
        <v>13</v>
      </c>
      <c r="S5" s="4" t="s">
        <v>14</v>
      </c>
      <c r="T5" s="4" t="s">
        <v>36</v>
      </c>
      <c r="U5" s="4" t="s">
        <v>37</v>
      </c>
      <c r="V5" s="4" t="s">
        <v>38</v>
      </c>
      <c r="W5" s="4" t="s">
        <v>39</v>
      </c>
      <c r="X5" s="4" t="s">
        <v>40</v>
      </c>
      <c r="Y5" s="4" t="s">
        <v>49</v>
      </c>
      <c r="Z5" s="4" t="s">
        <v>15</v>
      </c>
      <c r="AA5" s="4" t="s">
        <v>16</v>
      </c>
      <c r="AB5" s="4" t="s">
        <v>54</v>
      </c>
      <c r="AC5" s="4" t="s">
        <v>47</v>
      </c>
      <c r="AD5" s="4" t="s">
        <v>48</v>
      </c>
      <c r="AE5" s="4" t="s">
        <v>45</v>
      </c>
      <c r="AF5" s="4" t="s">
        <v>17</v>
      </c>
      <c r="AG5" s="4" t="s">
        <v>18</v>
      </c>
      <c r="AH5" s="4" t="s">
        <v>19</v>
      </c>
      <c r="AI5" s="4" t="s">
        <v>20</v>
      </c>
      <c r="AJ5" s="4" t="s">
        <v>21</v>
      </c>
      <c r="AK5" s="4" t="s">
        <v>22</v>
      </c>
      <c r="AL5" s="4" t="s">
        <v>23</v>
      </c>
      <c r="AM5" s="6" t="s">
        <v>24</v>
      </c>
      <c r="AN5" s="6" t="s">
        <v>25</v>
      </c>
      <c r="AO5" s="6" t="s">
        <v>26</v>
      </c>
      <c r="AP5" s="7" t="s">
        <v>27</v>
      </c>
      <c r="AQ5" s="4" t="s">
        <v>28</v>
      </c>
      <c r="AR5" s="4" t="s">
        <v>29</v>
      </c>
      <c r="AS5" s="4" t="s">
        <v>30</v>
      </c>
      <c r="AT5" s="4" t="s">
        <v>51</v>
      </c>
      <c r="AU5" s="4" t="s">
        <v>31</v>
      </c>
      <c r="AV5" s="4" t="s">
        <v>32</v>
      </c>
      <c r="AW5" s="4" t="s">
        <v>33</v>
      </c>
      <c r="AX5" s="4" t="s">
        <v>34</v>
      </c>
      <c r="AY5" s="4" t="s">
        <v>35</v>
      </c>
      <c r="AZ5" s="8" t="s">
        <v>43</v>
      </c>
      <c r="BB5" s="44" t="s">
        <v>56</v>
      </c>
      <c r="BC5" s="44" t="s">
        <v>53</v>
      </c>
      <c r="BD5" s="4" t="s">
        <v>55</v>
      </c>
      <c r="BE5" s="44" t="s">
        <v>52</v>
      </c>
      <c r="BF5" s="44" t="s">
        <v>50</v>
      </c>
    </row>
    <row r="6" spans="1:58" s="20" customFormat="1" ht="12.75" x14ac:dyDescent="0.2">
      <c r="A6" s="21">
        <f>IF(ISBLANK(F6),"",COUNTA($F$6:F6))</f>
        <v>1</v>
      </c>
      <c r="B6" s="37" t="s">
        <v>60</v>
      </c>
      <c r="C6" s="37" t="s">
        <v>61</v>
      </c>
      <c r="D6" s="22"/>
      <c r="E6" s="23" t="s">
        <v>64</v>
      </c>
      <c r="F6" s="36">
        <v>46233</v>
      </c>
      <c r="G6" s="24" t="s">
        <v>59</v>
      </c>
      <c r="H6" s="24">
        <v>58</v>
      </c>
      <c r="I6" s="24">
        <v>1</v>
      </c>
      <c r="J6" s="24" t="s">
        <v>64</v>
      </c>
      <c r="K6" s="25">
        <v>162004361</v>
      </c>
      <c r="L6" s="26">
        <v>46233</v>
      </c>
      <c r="M6" s="38">
        <v>46235</v>
      </c>
      <c r="N6" s="52">
        <v>16481</v>
      </c>
      <c r="O6" s="27"/>
      <c r="P6" s="27"/>
      <c r="Q6" s="27"/>
      <c r="R6" s="46">
        <v>5092.97</v>
      </c>
      <c r="S6" s="46">
        <v>1195.7700000000004</v>
      </c>
      <c r="T6" s="46">
        <f t="shared" ref="T6:T89" si="0">+R6-S6</f>
        <v>3897.2</v>
      </c>
      <c r="U6" s="46">
        <v>3917.2</v>
      </c>
      <c r="V6" s="46"/>
      <c r="W6" s="46"/>
      <c r="X6" s="46">
        <v>3787</v>
      </c>
      <c r="Y6" s="46"/>
      <c r="Z6" s="46">
        <f>+T6-X6</f>
        <v>110.19999999999982</v>
      </c>
      <c r="AA6" s="39">
        <f>Z6/T6</f>
        <v>2.8276711485168794E-2</v>
      </c>
      <c r="AB6" s="73">
        <v>3897.2</v>
      </c>
      <c r="AC6" s="73"/>
      <c r="AD6" s="73"/>
      <c r="AE6" s="39"/>
      <c r="AF6" s="74"/>
      <c r="AG6" s="74"/>
      <c r="AH6" s="75"/>
      <c r="AI6" s="75">
        <f t="shared" ref="AI6:AI89" si="1">+AG6+AH6</f>
        <v>0</v>
      </c>
      <c r="AJ6" s="32"/>
      <c r="AK6" s="32"/>
      <c r="AL6" s="32"/>
      <c r="AM6" s="33"/>
      <c r="AN6" s="33"/>
      <c r="AO6" s="33"/>
      <c r="AP6" s="34">
        <f t="shared" ref="AP6:AP89" si="2">ROUNDUP((AO6-AM6+(AO6&lt;AM6))*24,0)</f>
        <v>0</v>
      </c>
      <c r="AQ6" s="32">
        <f t="shared" ref="AQ6:AQ89" si="3">IF(AP6&gt;5,(AP6-5),0)</f>
        <v>0</v>
      </c>
      <c r="AR6" s="32">
        <f t="shared" ref="AR6:AR89" si="4">+AQ6*8850</f>
        <v>0</v>
      </c>
      <c r="AS6" s="32"/>
      <c r="AT6" s="32"/>
      <c r="AU6" s="32"/>
      <c r="AV6" s="32"/>
      <c r="AW6" s="32"/>
      <c r="AX6" s="32"/>
      <c r="AY6" s="32"/>
      <c r="AZ6" s="35"/>
      <c r="BB6" s="45">
        <f>IF(AND(AB6="",AC6=""),T6,IF(AC6="",AB6,AC6))</f>
        <v>3897.2</v>
      </c>
      <c r="BC6" s="45">
        <f t="shared" ref="BC6:BC37" si="5">+X6</f>
        <v>3787</v>
      </c>
      <c r="BD6" s="45"/>
      <c r="BE6" s="45">
        <f t="shared" ref="BE6:BE77" si="6">+BB6-BC6</f>
        <v>110.19999999999982</v>
      </c>
      <c r="BF6" s="39">
        <f t="shared" ref="BF6:BF77" si="7">+BE6/BB6</f>
        <v>2.8276711485168794E-2</v>
      </c>
    </row>
    <row r="7" spans="1:58" s="20" customFormat="1" ht="12.75" x14ac:dyDescent="0.2">
      <c r="A7" s="21">
        <f>IF(ISBLANK(F7),"",COUNTA($F$6:F7))</f>
        <v>2</v>
      </c>
      <c r="B7" s="37" t="s">
        <v>60</v>
      </c>
      <c r="C7" s="37" t="s">
        <v>61</v>
      </c>
      <c r="D7" s="22"/>
      <c r="E7" s="23" t="s">
        <v>64</v>
      </c>
      <c r="F7" s="36">
        <v>46233</v>
      </c>
      <c r="G7" s="24" t="s">
        <v>59</v>
      </c>
      <c r="H7" s="24">
        <v>58</v>
      </c>
      <c r="I7" s="24">
        <v>1</v>
      </c>
      <c r="J7" s="24" t="s">
        <v>64</v>
      </c>
      <c r="K7" s="25">
        <v>162004363</v>
      </c>
      <c r="L7" s="26">
        <v>46233</v>
      </c>
      <c r="M7" s="38">
        <v>46235</v>
      </c>
      <c r="N7" s="52">
        <v>16482</v>
      </c>
      <c r="O7" s="27"/>
      <c r="P7" s="27"/>
      <c r="Q7" s="27"/>
      <c r="R7" s="46">
        <v>5096.88</v>
      </c>
      <c r="S7" s="46">
        <v>1190.1800000000003</v>
      </c>
      <c r="T7" s="46">
        <f t="shared" si="0"/>
        <v>3906.7</v>
      </c>
      <c r="U7" s="46">
        <v>3920.6</v>
      </c>
      <c r="V7" s="46"/>
      <c r="W7" s="46"/>
      <c r="X7" s="46">
        <v>3844</v>
      </c>
      <c r="Y7" s="46"/>
      <c r="Z7" s="46">
        <f>+T7-X7</f>
        <v>62.699999999999818</v>
      </c>
      <c r="AA7" s="39">
        <f>Z7/T7</f>
        <v>1.6049351114751535E-2</v>
      </c>
      <c r="AB7" s="73">
        <v>3906.7</v>
      </c>
      <c r="AC7" s="73"/>
      <c r="AD7" s="73"/>
      <c r="AE7" s="39"/>
      <c r="AF7" s="74"/>
      <c r="AG7" s="74"/>
      <c r="AH7" s="75"/>
      <c r="AI7" s="75">
        <f t="shared" si="1"/>
        <v>0</v>
      </c>
      <c r="AJ7" s="32"/>
      <c r="AK7" s="32"/>
      <c r="AL7" s="32"/>
      <c r="AM7" s="33"/>
      <c r="AN7" s="33"/>
      <c r="AO7" s="33"/>
      <c r="AP7" s="34">
        <f t="shared" si="2"/>
        <v>0</v>
      </c>
      <c r="AQ7" s="32">
        <f t="shared" si="3"/>
        <v>0</v>
      </c>
      <c r="AR7" s="32">
        <f t="shared" si="4"/>
        <v>0</v>
      </c>
      <c r="AS7" s="32"/>
      <c r="AT7" s="32"/>
      <c r="AU7" s="32"/>
      <c r="AV7" s="32"/>
      <c r="AW7" s="32"/>
      <c r="AX7" s="32"/>
      <c r="AY7" s="32"/>
      <c r="AZ7" s="35"/>
      <c r="BB7" s="45">
        <f>IF(AND(AB7="",AC7=""),T7,IF(AC7="",AB7,AC7))</f>
        <v>3906.7</v>
      </c>
      <c r="BC7" s="45">
        <f t="shared" si="5"/>
        <v>3844</v>
      </c>
      <c r="BD7" s="45"/>
      <c r="BE7" s="45">
        <f t="shared" si="6"/>
        <v>62.699999999999818</v>
      </c>
      <c r="BF7" s="39">
        <f t="shared" si="7"/>
        <v>1.6049351114751535E-2</v>
      </c>
    </row>
    <row r="8" spans="1:58" s="20" customFormat="1" ht="12.75" x14ac:dyDescent="0.2">
      <c r="A8" s="21">
        <f>IF(ISBLANK(F8),"",COUNTA($F$6:F8))</f>
        <v>3</v>
      </c>
      <c r="B8" s="37" t="s">
        <v>60</v>
      </c>
      <c r="C8" s="37" t="s">
        <v>61</v>
      </c>
      <c r="D8" s="22"/>
      <c r="E8" s="23" t="s">
        <v>63</v>
      </c>
      <c r="F8" s="36">
        <v>46233</v>
      </c>
      <c r="G8" s="24" t="s">
        <v>59</v>
      </c>
      <c r="H8" s="24">
        <v>59</v>
      </c>
      <c r="I8" s="24">
        <v>7</v>
      </c>
      <c r="J8" s="24" t="s">
        <v>63</v>
      </c>
      <c r="K8" s="25">
        <v>162006369</v>
      </c>
      <c r="L8" s="26">
        <v>46233</v>
      </c>
      <c r="M8" s="38">
        <v>46235</v>
      </c>
      <c r="N8" s="52">
        <v>16486</v>
      </c>
      <c r="O8" s="27"/>
      <c r="P8" s="27"/>
      <c r="Q8" s="27"/>
      <c r="R8" s="46">
        <v>4659.8900000000003</v>
      </c>
      <c r="S8" s="46">
        <v>1091.1900000000005</v>
      </c>
      <c r="T8" s="46">
        <f t="shared" si="0"/>
        <v>3568.7</v>
      </c>
      <c r="U8" s="46">
        <v>3575</v>
      </c>
      <c r="V8" s="46"/>
      <c r="W8" s="46"/>
      <c r="X8" s="46">
        <v>3476.8</v>
      </c>
      <c r="Y8" s="46"/>
      <c r="Z8" s="46">
        <f>+T8-X8</f>
        <v>91.899999999999636</v>
      </c>
      <c r="AA8" s="39">
        <f>Z8/T8</f>
        <v>2.5751674279149168E-2</v>
      </c>
      <c r="AB8" s="73">
        <v>3568.7</v>
      </c>
      <c r="AC8" s="73"/>
      <c r="AD8" s="73"/>
      <c r="AE8" s="39"/>
      <c r="AF8" s="74"/>
      <c r="AG8" s="74"/>
      <c r="AH8" s="75"/>
      <c r="AI8" s="75">
        <f t="shared" si="1"/>
        <v>0</v>
      </c>
      <c r="AJ8" s="32"/>
      <c r="AK8" s="32"/>
      <c r="AL8" s="32"/>
      <c r="AM8" s="33"/>
      <c r="AN8" s="33"/>
      <c r="AO8" s="33"/>
      <c r="AP8" s="34">
        <f t="shared" si="2"/>
        <v>0</v>
      </c>
      <c r="AQ8" s="32">
        <f t="shared" si="3"/>
        <v>0</v>
      </c>
      <c r="AR8" s="32">
        <f t="shared" si="4"/>
        <v>0</v>
      </c>
      <c r="AS8" s="32"/>
      <c r="AT8" s="32"/>
      <c r="AU8" s="32"/>
      <c r="AV8" s="32"/>
      <c r="AW8" s="32"/>
      <c r="AX8" s="32"/>
      <c r="AY8" s="32"/>
      <c r="AZ8" s="35"/>
      <c r="BB8" s="45">
        <f>IF(AND(AB8="",AC8=""),T8,IF(AC8="",AB8,AC8))</f>
        <v>3568.7</v>
      </c>
      <c r="BC8" s="45">
        <f t="shared" si="5"/>
        <v>3476.8</v>
      </c>
      <c r="BD8" s="45"/>
      <c r="BE8" s="45">
        <f t="shared" si="6"/>
        <v>91.899999999999636</v>
      </c>
      <c r="BF8" s="39">
        <f t="shared" si="7"/>
        <v>2.5751674279149168E-2</v>
      </c>
    </row>
    <row r="9" spans="1:58" s="20" customFormat="1" ht="12.75" x14ac:dyDescent="0.2">
      <c r="A9" s="21">
        <f>IF(ISBLANK(F9),"",COUNTA($F$6:F9))</f>
        <v>4</v>
      </c>
      <c r="B9" s="37" t="s">
        <v>60</v>
      </c>
      <c r="C9" s="37" t="s">
        <v>61</v>
      </c>
      <c r="D9" s="22"/>
      <c r="E9" s="23" t="s">
        <v>65</v>
      </c>
      <c r="F9" s="36">
        <v>46233</v>
      </c>
      <c r="G9" s="24" t="s">
        <v>59</v>
      </c>
      <c r="H9" s="24">
        <v>58</v>
      </c>
      <c r="I9" s="24">
        <v>0</v>
      </c>
      <c r="J9" s="24" t="s">
        <v>67</v>
      </c>
      <c r="K9" s="25">
        <v>162011681</v>
      </c>
      <c r="L9" s="26">
        <v>46234</v>
      </c>
      <c r="M9" s="38">
        <v>46236</v>
      </c>
      <c r="N9" s="52">
        <v>16490</v>
      </c>
      <c r="O9" s="27"/>
      <c r="P9" s="27"/>
      <c r="Q9" s="27"/>
      <c r="R9" s="46">
        <v>5215.9799999999996</v>
      </c>
      <c r="S9" s="46">
        <v>1211.4799999999996</v>
      </c>
      <c r="T9" s="46">
        <f t="shared" si="0"/>
        <v>4004.5</v>
      </c>
      <c r="U9" s="46">
        <v>4032.2</v>
      </c>
      <c r="V9" s="46"/>
      <c r="W9" s="46"/>
      <c r="X9" s="46">
        <v>4148.2</v>
      </c>
      <c r="Y9" s="46"/>
      <c r="Z9" s="46">
        <f>+T9-X9</f>
        <v>-143.69999999999982</v>
      </c>
      <c r="AA9" s="39">
        <f>Z9/T9</f>
        <v>-3.5884629791484532E-2</v>
      </c>
      <c r="AB9" s="73">
        <v>4135.0600000000004</v>
      </c>
      <c r="AC9" s="73"/>
      <c r="AD9" s="73"/>
      <c r="AE9" s="39"/>
      <c r="AF9" s="74"/>
      <c r="AG9" s="74"/>
      <c r="AH9" s="75"/>
      <c r="AI9" s="75">
        <f t="shared" si="1"/>
        <v>0</v>
      </c>
      <c r="AJ9" s="32"/>
      <c r="AK9" s="32"/>
      <c r="AL9" s="32"/>
      <c r="AM9" s="33"/>
      <c r="AN9" s="33"/>
      <c r="AO9" s="33"/>
      <c r="AP9" s="34">
        <f t="shared" si="2"/>
        <v>0</v>
      </c>
      <c r="AQ9" s="32">
        <f t="shared" si="3"/>
        <v>0</v>
      </c>
      <c r="AR9" s="32">
        <f t="shared" si="4"/>
        <v>0</v>
      </c>
      <c r="AS9" s="32"/>
      <c r="AT9" s="32"/>
      <c r="AU9" s="32"/>
      <c r="AV9" s="32"/>
      <c r="AW9" s="32"/>
      <c r="AX9" s="32"/>
      <c r="AY9" s="32"/>
      <c r="AZ9" s="35"/>
      <c r="BB9" s="45">
        <f>IF(AND(AB9="",AC9=""),T9,IF(AC9="",AB9,AC9))</f>
        <v>4135.0600000000004</v>
      </c>
      <c r="BC9" s="45">
        <f t="shared" si="5"/>
        <v>4148.2</v>
      </c>
      <c r="BD9" s="45"/>
      <c r="BE9" s="45">
        <f t="shared" si="6"/>
        <v>-13.139999999999418</v>
      </c>
      <c r="BF9" s="39">
        <f t="shared" si="7"/>
        <v>-3.177704797511866E-3</v>
      </c>
    </row>
    <row r="10" spans="1:58" s="20" customFormat="1" ht="12.75" x14ac:dyDescent="0.2">
      <c r="A10" s="21">
        <f>IF(ISBLANK(F10),"",COUNTA($F$6:F10))</f>
        <v>5</v>
      </c>
      <c r="B10" s="37" t="s">
        <v>60</v>
      </c>
      <c r="C10" s="37" t="s">
        <v>61</v>
      </c>
      <c r="D10" s="22"/>
      <c r="E10" s="23" t="s">
        <v>65</v>
      </c>
      <c r="F10" s="36">
        <v>46234</v>
      </c>
      <c r="G10" s="24" t="s">
        <v>59</v>
      </c>
      <c r="H10" s="24">
        <v>58</v>
      </c>
      <c r="I10" s="24">
        <v>0</v>
      </c>
      <c r="J10" s="24" t="s">
        <v>67</v>
      </c>
      <c r="K10" s="25">
        <v>162011682</v>
      </c>
      <c r="L10" s="26">
        <v>46234</v>
      </c>
      <c r="M10" s="38">
        <v>46235</v>
      </c>
      <c r="N10" s="52">
        <v>16485</v>
      </c>
      <c r="O10" s="27"/>
      <c r="P10" s="27"/>
      <c r="Q10" s="27"/>
      <c r="R10" s="46">
        <v>5186.3999999999996</v>
      </c>
      <c r="S10" s="46">
        <v>1222.4999999999995</v>
      </c>
      <c r="T10" s="46">
        <f t="shared" si="0"/>
        <v>3963.9</v>
      </c>
      <c r="U10" s="46">
        <v>4020.4</v>
      </c>
      <c r="V10" s="46"/>
      <c r="W10" s="46"/>
      <c r="X10" s="46">
        <v>4026.2</v>
      </c>
      <c r="Y10" s="46"/>
      <c r="Z10" s="46">
        <f>+T10-X10</f>
        <v>-62.299999999999727</v>
      </c>
      <c r="AA10" s="39">
        <f>Z10/T10</f>
        <v>-1.571684452180926E-2</v>
      </c>
      <c r="AB10" s="73">
        <v>3969.81</v>
      </c>
      <c r="AC10" s="73"/>
      <c r="AD10" s="73"/>
      <c r="AE10" s="39"/>
      <c r="AF10" s="74"/>
      <c r="AG10" s="74"/>
      <c r="AH10" s="75"/>
      <c r="AI10" s="75">
        <f t="shared" si="1"/>
        <v>0</v>
      </c>
      <c r="AJ10" s="32"/>
      <c r="AK10" s="32"/>
      <c r="AL10" s="32"/>
      <c r="AM10" s="33"/>
      <c r="AN10" s="33"/>
      <c r="AO10" s="33"/>
      <c r="AP10" s="34">
        <f t="shared" si="2"/>
        <v>0</v>
      </c>
      <c r="AQ10" s="32">
        <f t="shared" si="3"/>
        <v>0</v>
      </c>
      <c r="AR10" s="32">
        <f t="shared" si="4"/>
        <v>0</v>
      </c>
      <c r="AS10" s="32"/>
      <c r="AT10" s="32"/>
      <c r="AU10" s="32"/>
      <c r="AV10" s="32"/>
      <c r="AW10" s="32"/>
      <c r="AX10" s="32"/>
      <c r="AY10" s="32"/>
      <c r="AZ10" s="35"/>
      <c r="BB10" s="45">
        <f>IF(AND(AB10="",AC10=""),T10,IF(AC10="",AB10,AC10))</f>
        <v>3969.81</v>
      </c>
      <c r="BC10" s="45">
        <f t="shared" si="5"/>
        <v>4026.2</v>
      </c>
      <c r="BD10" s="45"/>
      <c r="BE10" s="45">
        <f t="shared" si="6"/>
        <v>-56.389999999999873</v>
      </c>
      <c r="BF10" s="39">
        <f t="shared" si="7"/>
        <v>-1.4204710049095516E-2</v>
      </c>
    </row>
    <row r="11" spans="1:58" s="20" customFormat="1" ht="12.75" x14ac:dyDescent="0.2">
      <c r="A11" s="21">
        <f>IF(ISBLANK(F11),"",COUNTA($F$6:F11))</f>
        <v>6</v>
      </c>
      <c r="B11" s="37" t="s">
        <v>60</v>
      </c>
      <c r="C11" s="37" t="s">
        <v>61</v>
      </c>
      <c r="D11" s="22"/>
      <c r="E11" s="23" t="s">
        <v>64</v>
      </c>
      <c r="F11" s="36">
        <v>46234</v>
      </c>
      <c r="G11" s="24" t="s">
        <v>59</v>
      </c>
      <c r="H11" s="24">
        <v>58</v>
      </c>
      <c r="I11" s="24">
        <v>2</v>
      </c>
      <c r="J11" s="24" t="s">
        <v>64</v>
      </c>
      <c r="K11" s="25">
        <v>162004364</v>
      </c>
      <c r="L11" s="26">
        <v>46234</v>
      </c>
      <c r="M11" s="38">
        <v>46236</v>
      </c>
      <c r="N11" s="52">
        <v>16491</v>
      </c>
      <c r="O11" s="27"/>
      <c r="P11" s="27"/>
      <c r="Q11" s="27"/>
      <c r="R11" s="46">
        <v>5006.12</v>
      </c>
      <c r="S11" s="46">
        <v>1175.7199999999998</v>
      </c>
      <c r="T11" s="46">
        <f t="shared" si="0"/>
        <v>3830.4</v>
      </c>
      <c r="U11" s="46">
        <v>3845.2</v>
      </c>
      <c r="V11" s="46"/>
      <c r="W11" s="46"/>
      <c r="X11" s="46">
        <v>3723.4</v>
      </c>
      <c r="Y11" s="46"/>
      <c r="Z11" s="46">
        <f>+T11-X11</f>
        <v>107</v>
      </c>
      <c r="AA11" s="39">
        <f>Z11/T11</f>
        <v>2.7934419381787801E-2</v>
      </c>
      <c r="AB11" s="73">
        <v>3830.4</v>
      </c>
      <c r="AC11" s="73"/>
      <c r="AD11" s="73"/>
      <c r="AE11" s="39"/>
      <c r="AF11" s="74"/>
      <c r="AG11" s="74"/>
      <c r="AH11" s="75"/>
      <c r="AI11" s="75">
        <f t="shared" si="1"/>
        <v>0</v>
      </c>
      <c r="AJ11" s="32"/>
      <c r="AK11" s="32"/>
      <c r="AL11" s="32"/>
      <c r="AM11" s="33"/>
      <c r="AN11" s="33"/>
      <c r="AO11" s="33"/>
      <c r="AP11" s="34">
        <f t="shared" si="2"/>
        <v>0</v>
      </c>
      <c r="AQ11" s="32">
        <f t="shared" si="3"/>
        <v>0</v>
      </c>
      <c r="AR11" s="32">
        <f t="shared" si="4"/>
        <v>0</v>
      </c>
      <c r="AS11" s="32"/>
      <c r="AT11" s="32"/>
      <c r="AU11" s="32"/>
      <c r="AV11" s="32"/>
      <c r="AW11" s="32"/>
      <c r="AX11" s="32"/>
      <c r="AY11" s="32"/>
      <c r="AZ11" s="35"/>
      <c r="BB11" s="45">
        <f>IF(AND(AB11="",AC11=""),T11,IF(AC11="",AB11,AC11))</f>
        <v>3830.4</v>
      </c>
      <c r="BC11" s="45">
        <f t="shared" si="5"/>
        <v>3723.4</v>
      </c>
      <c r="BD11" s="45"/>
      <c r="BE11" s="45">
        <f t="shared" si="6"/>
        <v>107</v>
      </c>
      <c r="BF11" s="39">
        <f t="shared" si="7"/>
        <v>2.7934419381787801E-2</v>
      </c>
    </row>
    <row r="12" spans="1:58" s="20" customFormat="1" ht="12.75" x14ac:dyDescent="0.2">
      <c r="A12" s="21">
        <f>IF(ISBLANK(F12),"",COUNTA($F$6:F12))</f>
        <v>7</v>
      </c>
      <c r="B12" s="37" t="s">
        <v>60</v>
      </c>
      <c r="C12" s="37" t="s">
        <v>61</v>
      </c>
      <c r="D12" s="22"/>
      <c r="E12" s="23" t="s">
        <v>63</v>
      </c>
      <c r="F12" s="36">
        <v>46234</v>
      </c>
      <c r="G12" s="24" t="s">
        <v>59</v>
      </c>
      <c r="H12" s="24">
        <v>58</v>
      </c>
      <c r="I12" s="24">
        <v>8</v>
      </c>
      <c r="J12" s="24" t="s">
        <v>63</v>
      </c>
      <c r="K12" s="25">
        <v>162006376</v>
      </c>
      <c r="L12" s="26">
        <v>46234</v>
      </c>
      <c r="M12" s="38">
        <v>46236</v>
      </c>
      <c r="N12" s="52">
        <v>16492</v>
      </c>
      <c r="O12" s="27"/>
      <c r="P12" s="27"/>
      <c r="Q12" s="27"/>
      <c r="R12" s="46">
        <v>4477.51</v>
      </c>
      <c r="S12" s="46">
        <v>1050.71</v>
      </c>
      <c r="T12" s="46">
        <f t="shared" si="0"/>
        <v>3426.8</v>
      </c>
      <c r="U12" s="46">
        <v>3434.2</v>
      </c>
      <c r="V12" s="46"/>
      <c r="W12" s="46"/>
      <c r="X12" s="46">
        <v>3368.8</v>
      </c>
      <c r="Y12" s="46"/>
      <c r="Z12" s="46">
        <f>+T12-X12</f>
        <v>58</v>
      </c>
      <c r="AA12" s="39">
        <f>Z12/T12</f>
        <v>1.6925411462589003E-2</v>
      </c>
      <c r="AB12" s="73">
        <v>3426.75</v>
      </c>
      <c r="AC12" s="73"/>
      <c r="AD12" s="73"/>
      <c r="AE12" s="39"/>
      <c r="AF12" s="74"/>
      <c r="AG12" s="74"/>
      <c r="AH12" s="75"/>
      <c r="AI12" s="75">
        <f t="shared" si="1"/>
        <v>0</v>
      </c>
      <c r="AJ12" s="32"/>
      <c r="AK12" s="32"/>
      <c r="AL12" s="32"/>
      <c r="AM12" s="33"/>
      <c r="AN12" s="33"/>
      <c r="AO12" s="33"/>
      <c r="AP12" s="34">
        <f t="shared" si="2"/>
        <v>0</v>
      </c>
      <c r="AQ12" s="32">
        <f t="shared" si="3"/>
        <v>0</v>
      </c>
      <c r="AR12" s="32">
        <f t="shared" si="4"/>
        <v>0</v>
      </c>
      <c r="AS12" s="32"/>
      <c r="AT12" s="32"/>
      <c r="AU12" s="32"/>
      <c r="AV12" s="32"/>
      <c r="AW12" s="32"/>
      <c r="AX12" s="32"/>
      <c r="AY12" s="32"/>
      <c r="AZ12" s="35"/>
      <c r="BB12" s="45">
        <f>IF(AND(AB12="",AC12=""),T12,IF(AC12="",AB12,AC12))</f>
        <v>3426.75</v>
      </c>
      <c r="BC12" s="45">
        <f t="shared" si="5"/>
        <v>3368.8</v>
      </c>
      <c r="BD12" s="45"/>
      <c r="BE12" s="45">
        <f t="shared" si="6"/>
        <v>57.949999999999818</v>
      </c>
      <c r="BF12" s="39">
        <f t="shared" si="7"/>
        <v>1.6911067337856515E-2</v>
      </c>
    </row>
    <row r="13" spans="1:58" s="20" customFormat="1" ht="12.75" x14ac:dyDescent="0.2">
      <c r="A13" s="21">
        <f>IF(ISBLANK(F13),"",COUNTA($F$6:F13))</f>
        <v>8</v>
      </c>
      <c r="B13" s="37" t="s">
        <v>60</v>
      </c>
      <c r="C13" s="37" t="s">
        <v>61</v>
      </c>
      <c r="D13" s="22"/>
      <c r="E13" s="23" t="s">
        <v>64</v>
      </c>
      <c r="F13" s="36">
        <v>46234</v>
      </c>
      <c r="G13" s="24" t="s">
        <v>59</v>
      </c>
      <c r="H13" s="24">
        <v>59</v>
      </c>
      <c r="I13" s="24">
        <v>2</v>
      </c>
      <c r="J13" s="24" t="s">
        <v>64</v>
      </c>
      <c r="K13" s="25">
        <v>162004365</v>
      </c>
      <c r="L13" s="26">
        <v>46234</v>
      </c>
      <c r="M13" s="38">
        <v>46236</v>
      </c>
      <c r="N13" s="52">
        <v>16493</v>
      </c>
      <c r="O13" s="27"/>
      <c r="P13" s="27"/>
      <c r="Q13" s="27"/>
      <c r="R13" s="46">
        <v>5114.68</v>
      </c>
      <c r="S13" s="46">
        <v>1177.2800000000002</v>
      </c>
      <c r="T13" s="46">
        <f t="shared" si="0"/>
        <v>3937.4</v>
      </c>
      <c r="U13" s="46">
        <v>3939.4</v>
      </c>
      <c r="V13" s="46"/>
      <c r="W13" s="46"/>
      <c r="X13" s="46">
        <v>3823.2</v>
      </c>
      <c r="Y13" s="46"/>
      <c r="Z13" s="46">
        <f>+T13-X13</f>
        <v>114.20000000000027</v>
      </c>
      <c r="AA13" s="39">
        <f>Z13/T13</f>
        <v>2.900391121044351E-2</v>
      </c>
      <c r="AB13" s="73">
        <v>3937.35</v>
      </c>
      <c r="AC13" s="73"/>
      <c r="AD13" s="73"/>
      <c r="AE13" s="39"/>
      <c r="AF13" s="74"/>
      <c r="AG13" s="74"/>
      <c r="AH13" s="75"/>
      <c r="AI13" s="75">
        <f t="shared" si="1"/>
        <v>0</v>
      </c>
      <c r="AJ13" s="32"/>
      <c r="AK13" s="32"/>
      <c r="AL13" s="32"/>
      <c r="AM13" s="33"/>
      <c r="AN13" s="33"/>
      <c r="AO13" s="33"/>
      <c r="AP13" s="34">
        <f t="shared" si="2"/>
        <v>0</v>
      </c>
      <c r="AQ13" s="32">
        <f t="shared" si="3"/>
        <v>0</v>
      </c>
      <c r="AR13" s="32">
        <f t="shared" si="4"/>
        <v>0</v>
      </c>
      <c r="AS13" s="32"/>
      <c r="AT13" s="32"/>
      <c r="AU13" s="32"/>
      <c r="AV13" s="32"/>
      <c r="AW13" s="32"/>
      <c r="AX13" s="32"/>
      <c r="AY13" s="32"/>
      <c r="AZ13" s="35"/>
      <c r="BB13" s="45">
        <f>IF(AND(AB13="",AC13=""),T13,IF(AC13="",AB13,AC13))</f>
        <v>3937.35</v>
      </c>
      <c r="BC13" s="45">
        <f t="shared" si="5"/>
        <v>3823.2</v>
      </c>
      <c r="BD13" s="45"/>
      <c r="BE13" s="45">
        <f t="shared" si="6"/>
        <v>114.15000000000009</v>
      </c>
      <c r="BF13" s="39">
        <f t="shared" si="7"/>
        <v>2.8991580631643133E-2</v>
      </c>
    </row>
    <row r="14" spans="1:58" s="20" customFormat="1" ht="12.75" x14ac:dyDescent="0.2">
      <c r="A14" s="21">
        <f>IF(ISBLANK(F14),"",COUNTA($F$6:F14))</f>
        <v>9</v>
      </c>
      <c r="B14" s="37" t="s">
        <v>60</v>
      </c>
      <c r="C14" s="37" t="s">
        <v>61</v>
      </c>
      <c r="D14" s="22"/>
      <c r="E14" s="23" t="s">
        <v>65</v>
      </c>
      <c r="F14" s="36">
        <v>46234</v>
      </c>
      <c r="G14" s="24" t="s">
        <v>59</v>
      </c>
      <c r="H14" s="24">
        <v>58</v>
      </c>
      <c r="I14" s="24">
        <v>0</v>
      </c>
      <c r="J14" s="24" t="s">
        <v>67</v>
      </c>
      <c r="K14" s="25">
        <v>162011684</v>
      </c>
      <c r="L14" s="26">
        <v>46235</v>
      </c>
      <c r="M14" s="38">
        <v>46236</v>
      </c>
      <c r="N14" s="52">
        <v>16494</v>
      </c>
      <c r="O14" s="27"/>
      <c r="P14" s="27"/>
      <c r="Q14" s="27"/>
      <c r="R14" s="46">
        <v>4978.6000000000004</v>
      </c>
      <c r="S14" s="46">
        <v>1219.4000000000005</v>
      </c>
      <c r="T14" s="46">
        <f t="shared" si="0"/>
        <v>3759.2</v>
      </c>
      <c r="U14" s="46">
        <v>3989.6</v>
      </c>
      <c r="V14" s="46"/>
      <c r="W14" s="46"/>
      <c r="X14" s="46">
        <v>3802.8</v>
      </c>
      <c r="Y14" s="46"/>
      <c r="Z14" s="46">
        <f>+T14-X14</f>
        <v>-43.600000000000364</v>
      </c>
      <c r="AA14" s="39">
        <f>Z14/T14</f>
        <v>-1.1598212385614058E-2</v>
      </c>
      <c r="AB14" s="73">
        <v>3761.06</v>
      </c>
      <c r="AC14" s="73"/>
      <c r="AD14" s="73"/>
      <c r="AE14" s="39"/>
      <c r="AF14" s="74"/>
      <c r="AG14" s="74"/>
      <c r="AH14" s="75"/>
      <c r="AI14" s="75">
        <f t="shared" si="1"/>
        <v>0</v>
      </c>
      <c r="AJ14" s="32"/>
      <c r="AK14" s="32"/>
      <c r="AL14" s="32"/>
      <c r="AM14" s="33"/>
      <c r="AN14" s="33"/>
      <c r="AO14" s="33"/>
      <c r="AP14" s="34">
        <f t="shared" si="2"/>
        <v>0</v>
      </c>
      <c r="AQ14" s="32">
        <f t="shared" si="3"/>
        <v>0</v>
      </c>
      <c r="AR14" s="32">
        <f t="shared" si="4"/>
        <v>0</v>
      </c>
      <c r="AS14" s="32"/>
      <c r="AT14" s="32"/>
      <c r="AU14" s="32"/>
      <c r="AV14" s="32"/>
      <c r="AW14" s="32"/>
      <c r="AX14" s="32"/>
      <c r="AY14" s="32"/>
      <c r="AZ14" s="35"/>
      <c r="BB14" s="45">
        <f>IF(AND(AB14="",AC14=""),T14,IF(AC14="",AB14,AC14))</f>
        <v>3761.06</v>
      </c>
      <c r="BC14" s="45">
        <f t="shared" si="5"/>
        <v>3802.8</v>
      </c>
      <c r="BD14" s="45"/>
      <c r="BE14" s="45">
        <f t="shared" si="6"/>
        <v>-41.740000000000236</v>
      </c>
      <c r="BF14" s="39">
        <f t="shared" si="7"/>
        <v>-1.1097935156578262E-2</v>
      </c>
    </row>
    <row r="15" spans="1:58" s="20" customFormat="1" ht="12.75" x14ac:dyDescent="0.2">
      <c r="A15" s="21">
        <f>IF(ISBLANK(F15),"",COUNTA($F$6:F15))</f>
        <v>10</v>
      </c>
      <c r="B15" s="37" t="s">
        <v>60</v>
      </c>
      <c r="C15" s="37" t="s">
        <v>61</v>
      </c>
      <c r="D15" s="22"/>
      <c r="E15" s="23" t="s">
        <v>63</v>
      </c>
      <c r="F15" s="36">
        <v>46235</v>
      </c>
      <c r="G15" s="24" t="s">
        <v>59</v>
      </c>
      <c r="H15" s="24">
        <v>58</v>
      </c>
      <c r="I15" s="24">
        <v>1</v>
      </c>
      <c r="J15" s="24" t="s">
        <v>63</v>
      </c>
      <c r="K15" s="25">
        <v>162006378</v>
      </c>
      <c r="L15" s="26">
        <v>46235</v>
      </c>
      <c r="M15" s="38">
        <v>46237</v>
      </c>
      <c r="N15" s="52">
        <v>16496</v>
      </c>
      <c r="O15" s="27"/>
      <c r="P15" s="27"/>
      <c r="Q15" s="27"/>
      <c r="R15" s="46">
        <v>5112.09</v>
      </c>
      <c r="S15" s="46">
        <v>1196.9900000000002</v>
      </c>
      <c r="T15" s="46">
        <f t="shared" ref="T15:T86" si="8">+R15-S15</f>
        <v>3915.1</v>
      </c>
      <c r="U15" s="46">
        <v>3921.2</v>
      </c>
      <c r="V15" s="46"/>
      <c r="W15" s="46"/>
      <c r="X15" s="46">
        <v>3799.8</v>
      </c>
      <c r="Y15" s="46"/>
      <c r="Z15" s="46">
        <f>+T15-X15</f>
        <v>115.29999999999973</v>
      </c>
      <c r="AA15" s="39">
        <f>Z15/T15</f>
        <v>2.9450077903501758E-2</v>
      </c>
      <c r="AB15" s="73">
        <v>3915.1</v>
      </c>
      <c r="AC15" s="73"/>
      <c r="AD15" s="73"/>
      <c r="AE15" s="39"/>
      <c r="AF15" s="74"/>
      <c r="AG15" s="74"/>
      <c r="AH15" s="75"/>
      <c r="AI15" s="75">
        <f t="shared" ref="AI15:AI86" si="9">+AG15+AH15</f>
        <v>0</v>
      </c>
      <c r="AJ15" s="32"/>
      <c r="AK15" s="32"/>
      <c r="AL15" s="32"/>
      <c r="AM15" s="33"/>
      <c r="AN15" s="33"/>
      <c r="AO15" s="33"/>
      <c r="AP15" s="34">
        <f t="shared" ref="AP15:AP86" si="10">ROUNDUP((AO15-AM15+(AO15&lt;AM15))*24,0)</f>
        <v>0</v>
      </c>
      <c r="AQ15" s="32">
        <f t="shared" ref="AQ15:AQ86" si="11">IF(AP15&gt;5,(AP15-5),0)</f>
        <v>0</v>
      </c>
      <c r="AR15" s="32">
        <f t="shared" ref="AR15:AR86" si="12">+AQ15*8850</f>
        <v>0</v>
      </c>
      <c r="AS15" s="32"/>
      <c r="AT15" s="32"/>
      <c r="AU15" s="32"/>
      <c r="AV15" s="32"/>
      <c r="AW15" s="32"/>
      <c r="AX15" s="32"/>
      <c r="AY15" s="32"/>
      <c r="AZ15" s="35"/>
      <c r="BB15" s="45">
        <f>IF(AND(AB15="",AC15=""),T15,IF(AC15="",AB15,AC15))</f>
        <v>3915.1</v>
      </c>
      <c r="BC15" s="45">
        <f t="shared" si="5"/>
        <v>3799.8</v>
      </c>
      <c r="BD15" s="45"/>
      <c r="BE15" s="45">
        <f t="shared" si="6"/>
        <v>115.29999999999973</v>
      </c>
      <c r="BF15" s="39">
        <f t="shared" si="7"/>
        <v>2.9450077903501758E-2</v>
      </c>
    </row>
    <row r="16" spans="1:58" s="20" customFormat="1" ht="12.75" x14ac:dyDescent="0.2">
      <c r="A16" s="21">
        <f>IF(ISBLANK(F16),"",COUNTA($F$6:F16))</f>
        <v>11</v>
      </c>
      <c r="B16" s="37" t="s">
        <v>60</v>
      </c>
      <c r="C16" s="37" t="s">
        <v>61</v>
      </c>
      <c r="D16" s="22"/>
      <c r="E16" s="23" t="s">
        <v>64</v>
      </c>
      <c r="F16" s="36">
        <v>46235</v>
      </c>
      <c r="G16" s="24" t="s">
        <v>59</v>
      </c>
      <c r="H16" s="24">
        <v>58</v>
      </c>
      <c r="I16" s="24">
        <v>2</v>
      </c>
      <c r="J16" s="24" t="s">
        <v>64</v>
      </c>
      <c r="K16" s="25">
        <v>162004366</v>
      </c>
      <c r="L16" s="26">
        <v>46235</v>
      </c>
      <c r="M16" s="38">
        <v>46236</v>
      </c>
      <c r="N16" s="52">
        <v>16495</v>
      </c>
      <c r="O16" s="27"/>
      <c r="P16" s="27"/>
      <c r="Q16" s="27"/>
      <c r="R16" s="46">
        <v>5002.09</v>
      </c>
      <c r="S16" s="46">
        <v>1175.29</v>
      </c>
      <c r="T16" s="46">
        <f t="shared" ref="T16:T17" si="13">+R16-S16</f>
        <v>3826.8</v>
      </c>
      <c r="U16" s="46">
        <v>3845.4</v>
      </c>
      <c r="V16" s="46"/>
      <c r="W16" s="46"/>
      <c r="X16" s="46">
        <v>3709.2</v>
      </c>
      <c r="Y16" s="46"/>
      <c r="Z16" s="46">
        <f>+T16-X16</f>
        <v>117.60000000000036</v>
      </c>
      <c r="AA16" s="39">
        <f>Z16/T16</f>
        <v>3.0730636563186045E-2</v>
      </c>
      <c r="AB16" s="73">
        <v>3826.75</v>
      </c>
      <c r="AC16" s="73"/>
      <c r="AD16" s="73"/>
      <c r="AE16" s="39"/>
      <c r="AF16" s="74"/>
      <c r="AG16" s="74"/>
      <c r="AH16" s="75"/>
      <c r="AI16" s="75">
        <f t="shared" ref="AI16:AI17" si="14">+AG16+AH16</f>
        <v>0</v>
      </c>
      <c r="AJ16" s="32"/>
      <c r="AK16" s="32"/>
      <c r="AL16" s="32"/>
      <c r="AM16" s="33"/>
      <c r="AN16" s="33"/>
      <c r="AO16" s="33"/>
      <c r="AP16" s="34">
        <f t="shared" ref="AP16:AP17" si="15">ROUNDUP((AO16-AM16+(AO16&lt;AM16))*24,0)</f>
        <v>0</v>
      </c>
      <c r="AQ16" s="32">
        <f t="shared" ref="AQ16:AQ17" si="16">IF(AP16&gt;5,(AP16-5),0)</f>
        <v>0</v>
      </c>
      <c r="AR16" s="32">
        <f t="shared" ref="AR16:AR17" si="17">+AQ16*8850</f>
        <v>0</v>
      </c>
      <c r="AS16" s="32"/>
      <c r="AT16" s="32"/>
      <c r="AU16" s="32"/>
      <c r="AV16" s="32"/>
      <c r="AW16" s="32"/>
      <c r="AX16" s="32"/>
      <c r="AY16" s="32"/>
      <c r="AZ16" s="35"/>
      <c r="BB16" s="45">
        <f>IF(AND(AB16="",AC16=""),T16,IF(AC16="",AB16,AC16))</f>
        <v>3826.75</v>
      </c>
      <c r="BC16" s="45">
        <f t="shared" si="5"/>
        <v>3709.2</v>
      </c>
      <c r="BD16" s="45"/>
      <c r="BE16" s="45">
        <f t="shared" ref="BE16:BE17" si="18">+BB16-BC16</f>
        <v>117.55000000000018</v>
      </c>
      <c r="BF16" s="39">
        <f t="shared" ref="BF16:BF17" si="19">+BE16/BB16</f>
        <v>3.0717972169595657E-2</v>
      </c>
    </row>
    <row r="17" spans="1:58" s="20" customFormat="1" ht="12.75" x14ac:dyDescent="0.2">
      <c r="A17" s="21">
        <f>IF(ISBLANK(F17),"",COUNTA($F$6:F17))</f>
        <v>12</v>
      </c>
      <c r="B17" s="37" t="s">
        <v>60</v>
      </c>
      <c r="C17" s="37" t="s">
        <v>61</v>
      </c>
      <c r="D17" s="22"/>
      <c r="E17" s="23" t="s">
        <v>64</v>
      </c>
      <c r="F17" s="36">
        <v>46235</v>
      </c>
      <c r="G17" s="24" t="s">
        <v>59</v>
      </c>
      <c r="H17" s="24">
        <v>58</v>
      </c>
      <c r="I17" s="24">
        <v>3</v>
      </c>
      <c r="J17" s="24" t="s">
        <v>64</v>
      </c>
      <c r="K17" s="25">
        <v>162004367</v>
      </c>
      <c r="L17" s="26">
        <v>46235</v>
      </c>
      <c r="M17" s="38">
        <v>46237</v>
      </c>
      <c r="N17" s="52">
        <v>16498</v>
      </c>
      <c r="O17" s="27"/>
      <c r="P17" s="27"/>
      <c r="Q17" s="27"/>
      <c r="R17" s="46">
        <v>4918.88</v>
      </c>
      <c r="S17" s="46">
        <v>1149.48</v>
      </c>
      <c r="T17" s="46">
        <f t="shared" si="13"/>
        <v>3769.4</v>
      </c>
      <c r="U17" s="46">
        <v>3784.4</v>
      </c>
      <c r="V17" s="46"/>
      <c r="W17" s="46"/>
      <c r="X17" s="46">
        <v>3682.6</v>
      </c>
      <c r="Y17" s="46"/>
      <c r="Z17" s="46">
        <f>+T17-X17</f>
        <v>86.800000000000182</v>
      </c>
      <c r="AA17" s="39">
        <f>Z17/T17</f>
        <v>2.3027537539130945E-2</v>
      </c>
      <c r="AB17" s="73">
        <v>3769.4</v>
      </c>
      <c r="AC17" s="73"/>
      <c r="AD17" s="73"/>
      <c r="AE17" s="39"/>
      <c r="AF17" s="74"/>
      <c r="AG17" s="74"/>
      <c r="AH17" s="75"/>
      <c r="AI17" s="75">
        <f t="shared" si="14"/>
        <v>0</v>
      </c>
      <c r="AJ17" s="32"/>
      <c r="AK17" s="32"/>
      <c r="AL17" s="32"/>
      <c r="AM17" s="33"/>
      <c r="AN17" s="33"/>
      <c r="AO17" s="33"/>
      <c r="AP17" s="34">
        <f t="shared" si="15"/>
        <v>0</v>
      </c>
      <c r="AQ17" s="32">
        <f t="shared" si="16"/>
        <v>0</v>
      </c>
      <c r="AR17" s="32">
        <f t="shared" si="17"/>
        <v>0</v>
      </c>
      <c r="AS17" s="32"/>
      <c r="AT17" s="32"/>
      <c r="AU17" s="32"/>
      <c r="AV17" s="32"/>
      <c r="AW17" s="32"/>
      <c r="AX17" s="32"/>
      <c r="AY17" s="32"/>
      <c r="AZ17" s="35"/>
      <c r="BB17" s="45">
        <f>IF(AND(AB17="",AC17=""),T17,IF(AC17="",AB17,AC17))</f>
        <v>3769.4</v>
      </c>
      <c r="BC17" s="45">
        <f t="shared" si="5"/>
        <v>3682.6</v>
      </c>
      <c r="BD17" s="45"/>
      <c r="BE17" s="45">
        <f t="shared" si="18"/>
        <v>86.800000000000182</v>
      </c>
      <c r="BF17" s="39">
        <f t="shared" si="19"/>
        <v>2.3027537539130945E-2</v>
      </c>
    </row>
    <row r="18" spans="1:58" s="20" customFormat="1" ht="12.75" x14ac:dyDescent="0.2">
      <c r="A18" s="21">
        <f>IF(ISBLANK(F18),"",COUNTA($F$6:F18))</f>
        <v>13</v>
      </c>
      <c r="B18" s="37" t="s">
        <v>60</v>
      </c>
      <c r="C18" s="37" t="s">
        <v>61</v>
      </c>
      <c r="D18" s="22"/>
      <c r="E18" s="23" t="s">
        <v>65</v>
      </c>
      <c r="F18" s="36">
        <v>46235</v>
      </c>
      <c r="G18" s="24" t="s">
        <v>59</v>
      </c>
      <c r="H18" s="24">
        <v>58</v>
      </c>
      <c r="I18" s="24">
        <v>3</v>
      </c>
      <c r="J18" s="24" t="s">
        <v>67</v>
      </c>
      <c r="K18" s="25">
        <v>162011686</v>
      </c>
      <c r="L18" s="26">
        <v>46235</v>
      </c>
      <c r="M18" s="38">
        <v>46238</v>
      </c>
      <c r="N18" s="52">
        <v>16502</v>
      </c>
      <c r="O18" s="27"/>
      <c r="P18" s="27"/>
      <c r="Q18" s="27"/>
      <c r="R18" s="46">
        <v>4950.3500000000004</v>
      </c>
      <c r="S18" s="46">
        <v>1150.6500000000005</v>
      </c>
      <c r="T18" s="46">
        <f t="shared" si="8"/>
        <v>3799.7</v>
      </c>
      <c r="U18" s="46">
        <v>3822.4</v>
      </c>
      <c r="V18" s="46"/>
      <c r="W18" s="46"/>
      <c r="X18" s="46">
        <v>3936.8</v>
      </c>
      <c r="Y18" s="46"/>
      <c r="Z18" s="46">
        <f>+T18-X18</f>
        <v>-137.10000000000036</v>
      </c>
      <c r="AA18" s="39">
        <f>Z18/T18</f>
        <v>-3.6081795931257828E-2</v>
      </c>
      <c r="AB18" s="73">
        <v>3841.65</v>
      </c>
      <c r="AC18" s="73"/>
      <c r="AD18" s="73"/>
      <c r="AE18" s="39"/>
      <c r="AF18" s="74"/>
      <c r="AG18" s="74"/>
      <c r="AH18" s="75"/>
      <c r="AI18" s="75">
        <f t="shared" si="9"/>
        <v>0</v>
      </c>
      <c r="AJ18" s="32"/>
      <c r="AK18" s="32"/>
      <c r="AL18" s="32"/>
      <c r="AM18" s="33"/>
      <c r="AN18" s="33"/>
      <c r="AO18" s="33"/>
      <c r="AP18" s="34">
        <f t="shared" si="10"/>
        <v>0</v>
      </c>
      <c r="AQ18" s="32">
        <f t="shared" si="11"/>
        <v>0</v>
      </c>
      <c r="AR18" s="32">
        <f t="shared" si="12"/>
        <v>0</v>
      </c>
      <c r="AS18" s="32"/>
      <c r="AT18" s="32"/>
      <c r="AU18" s="32"/>
      <c r="AV18" s="32"/>
      <c r="AW18" s="32"/>
      <c r="AX18" s="32"/>
      <c r="AY18" s="32"/>
      <c r="AZ18" s="35"/>
      <c r="BB18" s="45">
        <f>IF(AND(AB18="",AC18=""),T18,IF(AC18="",AB18,AC18))</f>
        <v>3841.65</v>
      </c>
      <c r="BC18" s="45">
        <f t="shared" si="5"/>
        <v>3936.8</v>
      </c>
      <c r="BD18" s="45"/>
      <c r="BE18" s="45">
        <f t="shared" si="6"/>
        <v>-95.150000000000091</v>
      </c>
      <c r="BF18" s="39">
        <f t="shared" si="7"/>
        <v>-2.476800333190168E-2</v>
      </c>
    </row>
    <row r="19" spans="1:58" s="20" customFormat="1" ht="12.75" x14ac:dyDescent="0.2">
      <c r="A19" s="21">
        <f>IF(ISBLANK(F19),"",COUNTA($F$6:F19))</f>
        <v>14</v>
      </c>
      <c r="B19" s="37" t="s">
        <v>60</v>
      </c>
      <c r="C19" s="37" t="s">
        <v>61</v>
      </c>
      <c r="D19" s="22"/>
      <c r="E19" s="23" t="s">
        <v>63</v>
      </c>
      <c r="F19" s="36">
        <v>46235</v>
      </c>
      <c r="G19" s="24" t="s">
        <v>59</v>
      </c>
      <c r="H19" s="24">
        <v>59</v>
      </c>
      <c r="I19" s="24">
        <v>2</v>
      </c>
      <c r="J19" s="24" t="s">
        <v>63</v>
      </c>
      <c r="K19" s="25">
        <v>162006382</v>
      </c>
      <c r="L19" s="26">
        <v>46235</v>
      </c>
      <c r="M19" s="38">
        <v>46237</v>
      </c>
      <c r="N19" s="52">
        <v>16497</v>
      </c>
      <c r="O19" s="27"/>
      <c r="P19" s="27"/>
      <c r="Q19" s="27"/>
      <c r="R19" s="46">
        <v>5115.2700000000004</v>
      </c>
      <c r="S19" s="46">
        <v>1179.6700000000005</v>
      </c>
      <c r="T19" s="46">
        <f t="shared" si="8"/>
        <v>3935.6</v>
      </c>
      <c r="U19" s="46">
        <v>3936.4</v>
      </c>
      <c r="V19" s="46"/>
      <c r="W19" s="46"/>
      <c r="X19" s="46">
        <v>3869.6</v>
      </c>
      <c r="Y19" s="46"/>
      <c r="Z19" s="46">
        <f>+T19-X19</f>
        <v>66</v>
      </c>
      <c r="AA19" s="39">
        <f>Z19/T19</f>
        <v>1.6769996950909645E-2</v>
      </c>
      <c r="AB19" s="73">
        <v>3935.6</v>
      </c>
      <c r="AC19" s="73"/>
      <c r="AD19" s="73"/>
      <c r="AE19" s="39"/>
      <c r="AF19" s="74"/>
      <c r="AG19" s="74"/>
      <c r="AH19" s="75"/>
      <c r="AI19" s="75">
        <f t="shared" si="9"/>
        <v>0</v>
      </c>
      <c r="AJ19" s="32"/>
      <c r="AK19" s="32"/>
      <c r="AL19" s="32"/>
      <c r="AM19" s="33"/>
      <c r="AN19" s="33"/>
      <c r="AO19" s="33"/>
      <c r="AP19" s="34">
        <f t="shared" si="10"/>
        <v>0</v>
      </c>
      <c r="AQ19" s="32">
        <f t="shared" si="11"/>
        <v>0</v>
      </c>
      <c r="AR19" s="32">
        <f t="shared" si="12"/>
        <v>0</v>
      </c>
      <c r="AS19" s="32"/>
      <c r="AT19" s="32"/>
      <c r="AU19" s="32"/>
      <c r="AV19" s="32"/>
      <c r="AW19" s="32"/>
      <c r="AX19" s="32"/>
      <c r="AY19" s="32"/>
      <c r="AZ19" s="35"/>
      <c r="BB19" s="45">
        <f>IF(AND(AB19="",AC19=""),T19,IF(AC19="",AB19,AC19))</f>
        <v>3935.6</v>
      </c>
      <c r="BC19" s="45">
        <f t="shared" si="5"/>
        <v>3869.6</v>
      </c>
      <c r="BD19" s="45"/>
      <c r="BE19" s="45">
        <f t="shared" si="6"/>
        <v>66</v>
      </c>
      <c r="BF19" s="39">
        <f t="shared" si="7"/>
        <v>1.6769996950909645E-2</v>
      </c>
    </row>
    <row r="20" spans="1:58" s="20" customFormat="1" ht="12.75" x14ac:dyDescent="0.2">
      <c r="A20" s="21">
        <f>IF(ISBLANK(F20),"",COUNTA($F$6:F20))</f>
        <v>15</v>
      </c>
      <c r="B20" s="37" t="s">
        <v>60</v>
      </c>
      <c r="C20" s="37" t="s">
        <v>61</v>
      </c>
      <c r="D20" s="22"/>
      <c r="E20" s="23" t="s">
        <v>63</v>
      </c>
      <c r="F20" s="36">
        <v>46235</v>
      </c>
      <c r="G20" s="24" t="s">
        <v>59</v>
      </c>
      <c r="H20" s="24">
        <v>59</v>
      </c>
      <c r="I20" s="24">
        <v>2</v>
      </c>
      <c r="J20" s="24" t="s">
        <v>63</v>
      </c>
      <c r="K20" s="25">
        <v>162006383</v>
      </c>
      <c r="L20" s="26">
        <v>46235</v>
      </c>
      <c r="M20" s="38">
        <v>46237</v>
      </c>
      <c r="N20" s="52">
        <v>16500</v>
      </c>
      <c r="O20" s="27"/>
      <c r="P20" s="27"/>
      <c r="Q20" s="27"/>
      <c r="R20" s="46">
        <v>5106.54</v>
      </c>
      <c r="S20" s="46">
        <v>1187.3400000000001</v>
      </c>
      <c r="T20" s="46">
        <f t="shared" si="8"/>
        <v>3919.2</v>
      </c>
      <c r="U20" s="46">
        <v>3924.4</v>
      </c>
      <c r="V20" s="46"/>
      <c r="W20" s="46"/>
      <c r="X20" s="46">
        <v>3997.8</v>
      </c>
      <c r="Y20" s="46"/>
      <c r="Z20" s="46">
        <f>+T20-X20</f>
        <v>-78.600000000000364</v>
      </c>
      <c r="AA20" s="39">
        <f>Z20/T20</f>
        <v>-2.0055113288426303E-2</v>
      </c>
      <c r="AB20" s="73">
        <v>3919.15</v>
      </c>
      <c r="AC20" s="73"/>
      <c r="AD20" s="73"/>
      <c r="AE20" s="39"/>
      <c r="AF20" s="74"/>
      <c r="AG20" s="74"/>
      <c r="AH20" s="75"/>
      <c r="AI20" s="75">
        <f t="shared" si="9"/>
        <v>0</v>
      </c>
      <c r="AJ20" s="32"/>
      <c r="AK20" s="32"/>
      <c r="AL20" s="32"/>
      <c r="AM20" s="33"/>
      <c r="AN20" s="33"/>
      <c r="AO20" s="33"/>
      <c r="AP20" s="34">
        <f t="shared" si="10"/>
        <v>0</v>
      </c>
      <c r="AQ20" s="32">
        <f t="shared" si="11"/>
        <v>0</v>
      </c>
      <c r="AR20" s="32">
        <f t="shared" si="12"/>
        <v>0</v>
      </c>
      <c r="AS20" s="32"/>
      <c r="AT20" s="32"/>
      <c r="AU20" s="32"/>
      <c r="AV20" s="32"/>
      <c r="AW20" s="32"/>
      <c r="AX20" s="32"/>
      <c r="AY20" s="32"/>
      <c r="AZ20" s="35"/>
      <c r="BB20" s="45">
        <f>IF(AND(AB20="",AC20=""),T20,IF(AC20="",AB20,AC20))</f>
        <v>3919.15</v>
      </c>
      <c r="BC20" s="45">
        <f t="shared" si="5"/>
        <v>3997.8</v>
      </c>
      <c r="BD20" s="45"/>
      <c r="BE20" s="45">
        <f t="shared" si="6"/>
        <v>-78.650000000000091</v>
      </c>
      <c r="BF20" s="39">
        <f t="shared" si="7"/>
        <v>-2.0068127017337966E-2</v>
      </c>
    </row>
    <row r="21" spans="1:58" s="20" customFormat="1" ht="12.75" x14ac:dyDescent="0.2">
      <c r="A21" s="21">
        <f>IF(ISBLANK(F21),"",COUNTA($F$6:F21))</f>
        <v>16</v>
      </c>
      <c r="B21" s="37" t="s">
        <v>60</v>
      </c>
      <c r="C21" s="37" t="s">
        <v>61</v>
      </c>
      <c r="D21" s="22"/>
      <c r="E21" s="23" t="s">
        <v>65</v>
      </c>
      <c r="F21" s="36">
        <v>46235</v>
      </c>
      <c r="G21" s="24" t="s">
        <v>59</v>
      </c>
      <c r="H21" s="24">
        <v>58</v>
      </c>
      <c r="I21" s="24">
        <v>3</v>
      </c>
      <c r="J21" s="24" t="s">
        <v>67</v>
      </c>
      <c r="K21" s="25">
        <v>162011687</v>
      </c>
      <c r="L21" s="26">
        <v>46236</v>
      </c>
      <c r="M21" s="38">
        <v>46238</v>
      </c>
      <c r="N21" s="52">
        <v>16501</v>
      </c>
      <c r="O21" s="27"/>
      <c r="P21" s="27"/>
      <c r="Q21" s="27"/>
      <c r="R21" s="46">
        <v>4916.6000000000004</v>
      </c>
      <c r="S21" s="46">
        <v>1162.4000000000005</v>
      </c>
      <c r="T21" s="46">
        <f t="shared" si="8"/>
        <v>3754.2</v>
      </c>
      <c r="U21" s="46">
        <v>3803.8</v>
      </c>
      <c r="V21" s="46"/>
      <c r="W21" s="46"/>
      <c r="X21" s="46">
        <v>3729.4</v>
      </c>
      <c r="Y21" s="46"/>
      <c r="Z21" s="46">
        <f>+T21-X21</f>
        <v>24.799999999999727</v>
      </c>
      <c r="AA21" s="39">
        <f>Z21/T21</f>
        <v>6.6059346864843988E-3</v>
      </c>
      <c r="AB21" s="73">
        <v>3766.35</v>
      </c>
      <c r="AC21" s="73"/>
      <c r="AD21" s="73"/>
      <c r="AE21" s="39"/>
      <c r="AF21" s="74"/>
      <c r="AG21" s="74"/>
      <c r="AH21" s="75"/>
      <c r="AI21" s="75">
        <f t="shared" si="9"/>
        <v>0</v>
      </c>
      <c r="AJ21" s="32"/>
      <c r="AK21" s="32"/>
      <c r="AL21" s="32"/>
      <c r="AM21" s="33"/>
      <c r="AN21" s="33"/>
      <c r="AO21" s="33"/>
      <c r="AP21" s="34">
        <f t="shared" si="10"/>
        <v>0</v>
      </c>
      <c r="AQ21" s="32">
        <f t="shared" si="11"/>
        <v>0</v>
      </c>
      <c r="AR21" s="32">
        <f t="shared" si="12"/>
        <v>0</v>
      </c>
      <c r="AS21" s="32"/>
      <c r="AT21" s="32"/>
      <c r="AU21" s="32"/>
      <c r="AV21" s="32"/>
      <c r="AW21" s="32"/>
      <c r="AX21" s="32"/>
      <c r="AY21" s="32"/>
      <c r="AZ21" s="35"/>
      <c r="BB21" s="45">
        <f>IF(AND(AB21="",AC21=""),T21,IF(AC21="",AB21,AC21))</f>
        <v>3766.35</v>
      </c>
      <c r="BC21" s="45">
        <f t="shared" si="5"/>
        <v>3729.4</v>
      </c>
      <c r="BD21" s="45"/>
      <c r="BE21" s="45">
        <f t="shared" si="6"/>
        <v>36.949999999999818</v>
      </c>
      <c r="BF21" s="39">
        <f t="shared" si="7"/>
        <v>9.8105592948079228E-3</v>
      </c>
    </row>
    <row r="22" spans="1:58" s="20" customFormat="1" ht="12.75" x14ac:dyDescent="0.2">
      <c r="A22" s="21">
        <f>IF(ISBLANK(F22),"",COUNTA($F$6:F22))</f>
        <v>17</v>
      </c>
      <c r="B22" s="37" t="s">
        <v>60</v>
      </c>
      <c r="C22" s="37" t="s">
        <v>61</v>
      </c>
      <c r="D22" s="22"/>
      <c r="E22" s="23" t="s">
        <v>64</v>
      </c>
      <c r="F22" s="36">
        <v>46235</v>
      </c>
      <c r="G22" s="24" t="s">
        <v>59</v>
      </c>
      <c r="H22" s="24">
        <v>59</v>
      </c>
      <c r="I22" s="24">
        <v>0</v>
      </c>
      <c r="J22" s="24" t="s">
        <v>64</v>
      </c>
      <c r="K22" s="25">
        <v>162004369</v>
      </c>
      <c r="L22" s="26">
        <v>46236</v>
      </c>
      <c r="M22" s="38">
        <v>46238</v>
      </c>
      <c r="N22" s="52">
        <v>16504</v>
      </c>
      <c r="O22" s="27"/>
      <c r="P22" s="27"/>
      <c r="Q22" s="27"/>
      <c r="R22" s="46">
        <v>5281.66</v>
      </c>
      <c r="S22" s="46">
        <v>1231.8599999999997</v>
      </c>
      <c r="T22" s="46">
        <f t="shared" si="8"/>
        <v>4049.8</v>
      </c>
      <c r="U22" s="46">
        <v>4062.6</v>
      </c>
      <c r="V22" s="46"/>
      <c r="W22" s="46"/>
      <c r="X22" s="46">
        <v>3931.6</v>
      </c>
      <c r="Y22" s="46"/>
      <c r="Z22" s="46">
        <f>+T22-X22</f>
        <v>118.20000000000027</v>
      </c>
      <c r="AA22" s="39">
        <f>Z22/T22</f>
        <v>2.9186626500074146E-2</v>
      </c>
      <c r="AB22" s="73">
        <v>4049.75</v>
      </c>
      <c r="AC22" s="73"/>
      <c r="AD22" s="73"/>
      <c r="AE22" s="39"/>
      <c r="AF22" s="74"/>
      <c r="AG22" s="74"/>
      <c r="AH22" s="75"/>
      <c r="AI22" s="75">
        <f t="shared" si="9"/>
        <v>0</v>
      </c>
      <c r="AJ22" s="32"/>
      <c r="AK22" s="32"/>
      <c r="AL22" s="32"/>
      <c r="AM22" s="33"/>
      <c r="AN22" s="33"/>
      <c r="AO22" s="33"/>
      <c r="AP22" s="34">
        <f t="shared" si="10"/>
        <v>0</v>
      </c>
      <c r="AQ22" s="32">
        <f t="shared" si="11"/>
        <v>0</v>
      </c>
      <c r="AR22" s="32">
        <f t="shared" si="12"/>
        <v>0</v>
      </c>
      <c r="AS22" s="32"/>
      <c r="AT22" s="32"/>
      <c r="AU22" s="32"/>
      <c r="AV22" s="32"/>
      <c r="AW22" s="32"/>
      <c r="AX22" s="32"/>
      <c r="AY22" s="32"/>
      <c r="AZ22" s="35"/>
      <c r="BB22" s="45">
        <f>IF(AND(AB22="",AC22=""),T22,IF(AC22="",AB22,AC22))</f>
        <v>4049.75</v>
      </c>
      <c r="BC22" s="45">
        <f t="shared" si="5"/>
        <v>3931.6</v>
      </c>
      <c r="BD22" s="45"/>
      <c r="BE22" s="45">
        <f t="shared" si="6"/>
        <v>118.15000000000009</v>
      </c>
      <c r="BF22" s="39">
        <f t="shared" si="7"/>
        <v>2.9174640409901868E-2</v>
      </c>
    </row>
    <row r="23" spans="1:58" s="20" customFormat="1" ht="12.75" x14ac:dyDescent="0.2">
      <c r="A23" s="21">
        <f>IF(ISBLANK(F23),"",COUNTA($F$6:F23))</f>
        <v>18</v>
      </c>
      <c r="B23" s="37" t="s">
        <v>60</v>
      </c>
      <c r="C23" s="37" t="s">
        <v>61</v>
      </c>
      <c r="D23" s="22"/>
      <c r="E23" s="23" t="s">
        <v>64</v>
      </c>
      <c r="F23" s="36">
        <v>46236</v>
      </c>
      <c r="G23" s="24" t="s">
        <v>59</v>
      </c>
      <c r="H23" s="24">
        <v>59</v>
      </c>
      <c r="I23" s="24">
        <v>0</v>
      </c>
      <c r="J23" s="24" t="s">
        <v>64</v>
      </c>
      <c r="K23" s="25">
        <v>162004370</v>
      </c>
      <c r="L23" s="26">
        <v>46236</v>
      </c>
      <c r="M23" s="38">
        <v>46238</v>
      </c>
      <c r="N23" s="52">
        <v>16505</v>
      </c>
      <c r="O23" s="27"/>
      <c r="P23" s="27"/>
      <c r="Q23" s="27"/>
      <c r="R23" s="46">
        <v>5276.54</v>
      </c>
      <c r="S23" s="46">
        <v>1232.04</v>
      </c>
      <c r="T23" s="46">
        <f t="shared" si="8"/>
        <v>4044.5</v>
      </c>
      <c r="U23" s="46">
        <v>4060.4</v>
      </c>
      <c r="V23" s="46"/>
      <c r="W23" s="46"/>
      <c r="X23" s="46">
        <v>4171.8</v>
      </c>
      <c r="Y23" s="46"/>
      <c r="Z23" s="46">
        <f>+T23-X23</f>
        <v>-127.30000000000018</v>
      </c>
      <c r="AA23" s="39">
        <f>Z23/T23</f>
        <v>-3.14748423785388E-2</v>
      </c>
      <c r="AB23" s="73">
        <v>4044.5</v>
      </c>
      <c r="AC23" s="73"/>
      <c r="AD23" s="73"/>
      <c r="AE23" s="39"/>
      <c r="AF23" s="74"/>
      <c r="AG23" s="74"/>
      <c r="AH23" s="75"/>
      <c r="AI23" s="75">
        <f t="shared" si="9"/>
        <v>0</v>
      </c>
      <c r="AJ23" s="32"/>
      <c r="AK23" s="32"/>
      <c r="AL23" s="32"/>
      <c r="AM23" s="33"/>
      <c r="AN23" s="33"/>
      <c r="AO23" s="33"/>
      <c r="AP23" s="34">
        <f t="shared" si="10"/>
        <v>0</v>
      </c>
      <c r="AQ23" s="32">
        <f t="shared" si="11"/>
        <v>0</v>
      </c>
      <c r="AR23" s="32">
        <f t="shared" si="12"/>
        <v>0</v>
      </c>
      <c r="AS23" s="32"/>
      <c r="AT23" s="32"/>
      <c r="AU23" s="32"/>
      <c r="AV23" s="32"/>
      <c r="AW23" s="32"/>
      <c r="AX23" s="32"/>
      <c r="AY23" s="32"/>
      <c r="AZ23" s="35"/>
      <c r="BB23" s="45">
        <f>IF(AND(AB23="",AC23=""),T23,IF(AC23="",AB23,AC23))</f>
        <v>4044.5</v>
      </c>
      <c r="BC23" s="45">
        <f t="shared" si="5"/>
        <v>4171.8</v>
      </c>
      <c r="BD23" s="45"/>
      <c r="BE23" s="45">
        <f t="shared" si="6"/>
        <v>-127.30000000000018</v>
      </c>
      <c r="BF23" s="39">
        <f t="shared" si="7"/>
        <v>-3.14748423785388E-2</v>
      </c>
    </row>
    <row r="24" spans="1:58" s="20" customFormat="1" ht="12.75" x14ac:dyDescent="0.2">
      <c r="A24" s="21">
        <f>IF(ISBLANK(F24),"",COUNTA($F$6:F24))</f>
        <v>19</v>
      </c>
      <c r="B24" s="37" t="s">
        <v>60</v>
      </c>
      <c r="C24" s="37" t="s">
        <v>61</v>
      </c>
      <c r="D24" s="22"/>
      <c r="E24" s="23" t="s">
        <v>63</v>
      </c>
      <c r="F24" s="36">
        <v>46236</v>
      </c>
      <c r="G24" s="24" t="s">
        <v>59</v>
      </c>
      <c r="H24" s="24">
        <v>57</v>
      </c>
      <c r="I24" s="24">
        <v>3</v>
      </c>
      <c r="J24" s="24" t="s">
        <v>63</v>
      </c>
      <c r="K24" s="25">
        <v>162006388</v>
      </c>
      <c r="L24" s="26">
        <v>46236</v>
      </c>
      <c r="M24" s="38">
        <v>46238</v>
      </c>
      <c r="N24" s="52">
        <v>16506</v>
      </c>
      <c r="O24" s="27"/>
      <c r="P24" s="27"/>
      <c r="Q24" s="27"/>
      <c r="R24" s="46">
        <v>4843.18</v>
      </c>
      <c r="S24" s="46">
        <v>1128.7800000000002</v>
      </c>
      <c r="T24" s="46">
        <f t="shared" si="8"/>
        <v>3714.4</v>
      </c>
      <c r="U24" s="46">
        <v>3718.8</v>
      </c>
      <c r="V24" s="46"/>
      <c r="W24" s="46"/>
      <c r="X24" s="46">
        <v>3789.4</v>
      </c>
      <c r="Y24" s="46"/>
      <c r="Z24" s="46">
        <f>+T24-X24</f>
        <v>-75</v>
      </c>
      <c r="AA24" s="39">
        <f>Z24/T24</f>
        <v>-2.0191686409648933E-2</v>
      </c>
      <c r="AB24" s="73">
        <v>3714.4</v>
      </c>
      <c r="AC24" s="73"/>
      <c r="AD24" s="73"/>
      <c r="AE24" s="39"/>
      <c r="AF24" s="74"/>
      <c r="AG24" s="74"/>
      <c r="AH24" s="75"/>
      <c r="AI24" s="75">
        <f t="shared" si="9"/>
        <v>0</v>
      </c>
      <c r="AJ24" s="32"/>
      <c r="AK24" s="32"/>
      <c r="AL24" s="32"/>
      <c r="AM24" s="33"/>
      <c r="AN24" s="33"/>
      <c r="AO24" s="33"/>
      <c r="AP24" s="34">
        <f t="shared" si="10"/>
        <v>0</v>
      </c>
      <c r="AQ24" s="32">
        <f t="shared" si="11"/>
        <v>0</v>
      </c>
      <c r="AR24" s="32">
        <f t="shared" si="12"/>
        <v>0</v>
      </c>
      <c r="AS24" s="32"/>
      <c r="AT24" s="32"/>
      <c r="AU24" s="32"/>
      <c r="AV24" s="32"/>
      <c r="AW24" s="32"/>
      <c r="AX24" s="32"/>
      <c r="AY24" s="32"/>
      <c r="AZ24" s="35"/>
      <c r="BB24" s="45">
        <f>IF(AND(AB24="",AC24=""),T24,IF(AC24="",AB24,AC24))</f>
        <v>3714.4</v>
      </c>
      <c r="BC24" s="45">
        <f t="shared" si="5"/>
        <v>3789.4</v>
      </c>
      <c r="BD24" s="45"/>
      <c r="BE24" s="45">
        <f t="shared" si="6"/>
        <v>-75</v>
      </c>
      <c r="BF24" s="39">
        <f t="shared" si="7"/>
        <v>-2.0191686409648933E-2</v>
      </c>
    </row>
    <row r="25" spans="1:58" s="20" customFormat="1" ht="12.75" x14ac:dyDescent="0.2">
      <c r="A25" s="21">
        <f>IF(ISBLANK(F25),"",COUNTA($F$6:F25))</f>
        <v>20</v>
      </c>
      <c r="B25" s="37" t="s">
        <v>60</v>
      </c>
      <c r="C25" s="37" t="s">
        <v>61</v>
      </c>
      <c r="D25" s="22"/>
      <c r="E25" s="23" t="s">
        <v>65</v>
      </c>
      <c r="F25" s="36">
        <v>46236</v>
      </c>
      <c r="G25" s="24" t="s">
        <v>69</v>
      </c>
      <c r="H25" s="24">
        <v>58</v>
      </c>
      <c r="I25" s="24">
        <v>1</v>
      </c>
      <c r="J25" s="24" t="s">
        <v>67</v>
      </c>
      <c r="K25" s="25">
        <v>162011689</v>
      </c>
      <c r="L25" s="26">
        <v>46237</v>
      </c>
      <c r="M25" s="38">
        <v>46238</v>
      </c>
      <c r="N25" s="52">
        <v>16508</v>
      </c>
      <c r="O25" s="27"/>
      <c r="P25" s="27"/>
      <c r="Q25" s="27"/>
      <c r="R25" s="46">
        <v>5016.3999999999996</v>
      </c>
      <c r="S25" s="46">
        <v>1131.3999999999996</v>
      </c>
      <c r="T25" s="46">
        <f t="shared" si="8"/>
        <v>3885</v>
      </c>
      <c r="U25" s="46">
        <v>3999.2</v>
      </c>
      <c r="V25" s="46"/>
      <c r="W25" s="46"/>
      <c r="X25" s="46">
        <v>3785.2</v>
      </c>
      <c r="Y25" s="46"/>
      <c r="Z25" s="46">
        <f>+T25-X25</f>
        <v>99.800000000000182</v>
      </c>
      <c r="AA25" s="39">
        <f>Z25/T25</f>
        <v>2.5688545688545734E-2</v>
      </c>
      <c r="AB25" s="73">
        <v>3905.1</v>
      </c>
      <c r="AC25" s="73"/>
      <c r="AD25" s="73"/>
      <c r="AE25" s="39"/>
      <c r="AF25" s="74"/>
      <c r="AG25" s="74"/>
      <c r="AH25" s="75"/>
      <c r="AI25" s="75">
        <f t="shared" si="9"/>
        <v>0</v>
      </c>
      <c r="AJ25" s="32"/>
      <c r="AK25" s="32"/>
      <c r="AL25" s="32"/>
      <c r="AM25" s="33"/>
      <c r="AN25" s="33"/>
      <c r="AO25" s="33"/>
      <c r="AP25" s="34">
        <f t="shared" si="10"/>
        <v>0</v>
      </c>
      <c r="AQ25" s="32">
        <f t="shared" si="11"/>
        <v>0</v>
      </c>
      <c r="AR25" s="32">
        <f t="shared" si="12"/>
        <v>0</v>
      </c>
      <c r="AS25" s="32"/>
      <c r="AT25" s="32"/>
      <c r="AU25" s="32"/>
      <c r="AV25" s="32"/>
      <c r="AW25" s="32"/>
      <c r="AX25" s="32"/>
      <c r="AY25" s="32"/>
      <c r="AZ25" s="35"/>
      <c r="BB25" s="45">
        <f>IF(AND(AB25="",AC25=""),T25,IF(AC25="",AB25,AC25))</f>
        <v>3905.1</v>
      </c>
      <c r="BC25" s="45">
        <f t="shared" si="5"/>
        <v>3785.2</v>
      </c>
      <c r="BD25" s="45"/>
      <c r="BE25" s="45">
        <f t="shared" si="6"/>
        <v>119.90000000000009</v>
      </c>
      <c r="BF25" s="39">
        <f t="shared" si="7"/>
        <v>3.0703439092468848E-2</v>
      </c>
    </row>
    <row r="26" spans="1:58" s="20" customFormat="1" ht="12.75" x14ac:dyDescent="0.2">
      <c r="A26" s="21">
        <f>IF(ISBLANK(F26),"",COUNTA($F$6:F26))</f>
        <v>21</v>
      </c>
      <c r="B26" s="37" t="s">
        <v>60</v>
      </c>
      <c r="C26" s="37" t="s">
        <v>61</v>
      </c>
      <c r="D26" s="22"/>
      <c r="E26" s="23" t="s">
        <v>64</v>
      </c>
      <c r="F26" s="36">
        <v>46236</v>
      </c>
      <c r="G26" s="24" t="s">
        <v>59</v>
      </c>
      <c r="H26" s="24">
        <v>58</v>
      </c>
      <c r="I26" s="24">
        <v>4</v>
      </c>
      <c r="J26" s="24" t="s">
        <v>64</v>
      </c>
      <c r="K26" s="25">
        <v>162004371</v>
      </c>
      <c r="L26" s="26">
        <v>46236</v>
      </c>
      <c r="M26" s="38">
        <v>46238</v>
      </c>
      <c r="N26" s="52">
        <v>16507</v>
      </c>
      <c r="O26" s="27"/>
      <c r="P26" s="27"/>
      <c r="Q26" s="27"/>
      <c r="R26" s="46">
        <v>4819.8999999999996</v>
      </c>
      <c r="S26" s="46">
        <v>1135.2999999999997</v>
      </c>
      <c r="T26" s="46">
        <f t="shared" si="8"/>
        <v>3684.6</v>
      </c>
      <c r="U26" s="46">
        <v>3705.2</v>
      </c>
      <c r="V26" s="46"/>
      <c r="W26" s="46"/>
      <c r="X26" s="46">
        <v>3665.8</v>
      </c>
      <c r="Y26" s="46"/>
      <c r="Z26" s="46">
        <f>+T26-X26</f>
        <v>18.799999999999727</v>
      </c>
      <c r="AA26" s="39">
        <f>Z26/T26</f>
        <v>5.1023177549801135E-3</v>
      </c>
      <c r="AB26" s="73">
        <v>3684.6</v>
      </c>
      <c r="AC26" s="73"/>
      <c r="AD26" s="73"/>
      <c r="AE26" s="39"/>
      <c r="AF26" s="74"/>
      <c r="AG26" s="74"/>
      <c r="AH26" s="75"/>
      <c r="AI26" s="75">
        <f t="shared" si="9"/>
        <v>0</v>
      </c>
      <c r="AJ26" s="32"/>
      <c r="AK26" s="32"/>
      <c r="AL26" s="32"/>
      <c r="AM26" s="33"/>
      <c r="AN26" s="33"/>
      <c r="AO26" s="33"/>
      <c r="AP26" s="34">
        <f t="shared" si="10"/>
        <v>0</v>
      </c>
      <c r="AQ26" s="32">
        <f t="shared" si="11"/>
        <v>0</v>
      </c>
      <c r="AR26" s="32">
        <f t="shared" si="12"/>
        <v>0</v>
      </c>
      <c r="AS26" s="32"/>
      <c r="AT26" s="32"/>
      <c r="AU26" s="32"/>
      <c r="AV26" s="32"/>
      <c r="AW26" s="32"/>
      <c r="AX26" s="32"/>
      <c r="AY26" s="32"/>
      <c r="AZ26" s="35"/>
      <c r="BB26" s="45">
        <f>IF(AND(AB26="",AC26=""),T26,IF(AC26="",AB26,AC26))</f>
        <v>3684.6</v>
      </c>
      <c r="BC26" s="45">
        <f t="shared" si="5"/>
        <v>3665.8</v>
      </c>
      <c r="BD26" s="45"/>
      <c r="BE26" s="45">
        <f t="shared" si="6"/>
        <v>18.799999999999727</v>
      </c>
      <c r="BF26" s="39">
        <f t="shared" si="7"/>
        <v>5.1023177549801135E-3</v>
      </c>
    </row>
    <row r="27" spans="1:58" s="20" customFormat="1" ht="12.75" x14ac:dyDescent="0.2">
      <c r="A27" s="21">
        <f>IF(ISBLANK(F27),"",COUNTA($F$6:F27))</f>
        <v>22</v>
      </c>
      <c r="B27" s="37" t="s">
        <v>60</v>
      </c>
      <c r="C27" s="37" t="s">
        <v>61</v>
      </c>
      <c r="D27" s="22"/>
      <c r="E27" s="23" t="s">
        <v>63</v>
      </c>
      <c r="F27" s="36">
        <v>46236</v>
      </c>
      <c r="G27" s="24" t="s">
        <v>59</v>
      </c>
      <c r="H27" s="24">
        <v>58</v>
      </c>
      <c r="I27" s="24">
        <v>1</v>
      </c>
      <c r="J27" s="24" t="s">
        <v>63</v>
      </c>
      <c r="K27" s="25">
        <v>162006389</v>
      </c>
      <c r="L27" s="26">
        <v>46237</v>
      </c>
      <c r="M27" s="38">
        <v>46238</v>
      </c>
      <c r="N27" s="52">
        <v>16510</v>
      </c>
      <c r="O27" s="27"/>
      <c r="P27" s="27"/>
      <c r="Q27" s="27"/>
      <c r="R27" s="46">
        <v>5112.1099999999997</v>
      </c>
      <c r="S27" s="46">
        <v>1202.0099999999998</v>
      </c>
      <c r="T27" s="46">
        <f t="shared" ref="T27:T35" si="20">+R27-S27</f>
        <v>3910.1</v>
      </c>
      <c r="U27" s="46">
        <v>3918.2</v>
      </c>
      <c r="V27" s="46"/>
      <c r="W27" s="46"/>
      <c r="X27" s="46">
        <v>3988.4</v>
      </c>
      <c r="Y27" s="46"/>
      <c r="Z27" s="46">
        <f>+T27-X27</f>
        <v>-78.300000000000182</v>
      </c>
      <c r="AA27" s="39">
        <f>Z27/T27</f>
        <v>-2.0025063297613919E-2</v>
      </c>
      <c r="AB27" s="73">
        <v>3910.1</v>
      </c>
      <c r="AC27" s="73"/>
      <c r="AD27" s="73"/>
      <c r="AE27" s="39"/>
      <c r="AF27" s="74"/>
      <c r="AG27" s="74"/>
      <c r="AH27" s="75"/>
      <c r="AI27" s="75">
        <f t="shared" ref="AI27:AI35" si="21">+AG27+AH27</f>
        <v>0</v>
      </c>
      <c r="AJ27" s="32"/>
      <c r="AK27" s="32"/>
      <c r="AL27" s="32"/>
      <c r="AM27" s="33"/>
      <c r="AN27" s="33"/>
      <c r="AO27" s="33"/>
      <c r="AP27" s="34">
        <f t="shared" ref="AP27:AP35" si="22">ROUNDUP((AO27-AM27+(AO27&lt;AM27))*24,0)</f>
        <v>0</v>
      </c>
      <c r="AQ27" s="32">
        <f t="shared" ref="AQ27:AQ35" si="23">IF(AP27&gt;5,(AP27-5),0)</f>
        <v>0</v>
      </c>
      <c r="AR27" s="32">
        <f t="shared" ref="AR27:AR35" si="24">+AQ27*8850</f>
        <v>0</v>
      </c>
      <c r="AS27" s="32"/>
      <c r="AT27" s="32"/>
      <c r="AU27" s="32"/>
      <c r="AV27" s="32"/>
      <c r="AW27" s="32"/>
      <c r="AX27" s="32"/>
      <c r="AY27" s="32"/>
      <c r="AZ27" s="35"/>
      <c r="BB27" s="45">
        <f>IF(AND(AB27="",AC27=""),T27,IF(AC27="",AB27,AC27))</f>
        <v>3910.1</v>
      </c>
      <c r="BC27" s="45">
        <f t="shared" si="5"/>
        <v>3988.4</v>
      </c>
      <c r="BD27" s="45"/>
      <c r="BE27" s="45">
        <f t="shared" ref="BE27:BE35" si="25">+BB27-BC27</f>
        <v>-78.300000000000182</v>
      </c>
      <c r="BF27" s="39">
        <f t="shared" ref="BF27:BF35" si="26">+BE27/BB27</f>
        <v>-2.0025063297613919E-2</v>
      </c>
    </row>
    <row r="28" spans="1:58" s="20" customFormat="1" ht="12.75" x14ac:dyDescent="0.2">
      <c r="A28" s="21">
        <f>IF(ISBLANK(F28),"",COUNTA($F$6:F28))</f>
        <v>23</v>
      </c>
      <c r="B28" s="37" t="s">
        <v>60</v>
      </c>
      <c r="C28" s="37" t="s">
        <v>61</v>
      </c>
      <c r="D28" s="22"/>
      <c r="E28" s="23" t="s">
        <v>64</v>
      </c>
      <c r="F28" s="36">
        <v>46237</v>
      </c>
      <c r="G28" s="24" t="s">
        <v>59</v>
      </c>
      <c r="H28" s="24">
        <v>59</v>
      </c>
      <c r="I28" s="24">
        <v>0</v>
      </c>
      <c r="J28" s="24" t="s">
        <v>64</v>
      </c>
      <c r="K28" s="25">
        <v>162004372</v>
      </c>
      <c r="L28" s="26">
        <v>46237</v>
      </c>
      <c r="M28" s="38">
        <v>46238</v>
      </c>
      <c r="N28" s="52">
        <v>16509</v>
      </c>
      <c r="O28" s="27"/>
      <c r="P28" s="27"/>
      <c r="Q28" s="27"/>
      <c r="R28" s="46">
        <v>5269.76</v>
      </c>
      <c r="S28" s="46">
        <v>1238.7600000000002</v>
      </c>
      <c r="T28" s="46">
        <f t="shared" si="20"/>
        <v>4031</v>
      </c>
      <c r="U28" s="46">
        <v>4050.4</v>
      </c>
      <c r="V28" s="46"/>
      <c r="W28" s="46"/>
      <c r="X28" s="46">
        <v>3923.8</v>
      </c>
      <c r="Y28" s="46"/>
      <c r="Z28" s="46">
        <f>+T28-X28</f>
        <v>107.19999999999982</v>
      </c>
      <c r="AA28" s="39">
        <f>Z28/T28</f>
        <v>2.6593897295956292E-2</v>
      </c>
      <c r="AB28" s="73">
        <v>4030.95</v>
      </c>
      <c r="AC28" s="73"/>
      <c r="AD28" s="73"/>
      <c r="AE28" s="39"/>
      <c r="AF28" s="74"/>
      <c r="AG28" s="74"/>
      <c r="AH28" s="75"/>
      <c r="AI28" s="75">
        <f t="shared" si="21"/>
        <v>0</v>
      </c>
      <c r="AJ28" s="32"/>
      <c r="AK28" s="32"/>
      <c r="AL28" s="32"/>
      <c r="AM28" s="33"/>
      <c r="AN28" s="33"/>
      <c r="AO28" s="33"/>
      <c r="AP28" s="34">
        <f t="shared" si="22"/>
        <v>0</v>
      </c>
      <c r="AQ28" s="32">
        <f t="shared" si="23"/>
        <v>0</v>
      </c>
      <c r="AR28" s="32">
        <f t="shared" si="24"/>
        <v>0</v>
      </c>
      <c r="AS28" s="32"/>
      <c r="AT28" s="32"/>
      <c r="AU28" s="32"/>
      <c r="AV28" s="32"/>
      <c r="AW28" s="32"/>
      <c r="AX28" s="32"/>
      <c r="AY28" s="32"/>
      <c r="AZ28" s="35"/>
      <c r="BB28" s="45">
        <f>IF(AND(AB28="",AC28=""),T28,IF(AC28="",AB28,AC28))</f>
        <v>4030.95</v>
      </c>
      <c r="BC28" s="45">
        <f t="shared" si="5"/>
        <v>3923.8</v>
      </c>
      <c r="BD28" s="45"/>
      <c r="BE28" s="45">
        <f t="shared" si="25"/>
        <v>107.14999999999964</v>
      </c>
      <c r="BF28" s="39">
        <f t="shared" si="26"/>
        <v>2.6581823143427639E-2</v>
      </c>
    </row>
    <row r="29" spans="1:58" s="20" customFormat="1" ht="12.75" x14ac:dyDescent="0.2">
      <c r="A29" s="21">
        <f>IF(ISBLANK(F29),"",COUNTA($F$6:F29))</f>
        <v>24</v>
      </c>
      <c r="B29" s="37" t="s">
        <v>60</v>
      </c>
      <c r="C29" s="37" t="s">
        <v>61</v>
      </c>
      <c r="D29" s="22"/>
      <c r="E29" s="23" t="s">
        <v>64</v>
      </c>
      <c r="F29" s="36">
        <v>46237</v>
      </c>
      <c r="G29" s="24" t="s">
        <v>59</v>
      </c>
      <c r="H29" s="24">
        <v>58</v>
      </c>
      <c r="I29" s="24">
        <v>8</v>
      </c>
      <c r="J29" s="24" t="s">
        <v>64</v>
      </c>
      <c r="K29" s="25">
        <v>162004373</v>
      </c>
      <c r="L29" s="26">
        <v>46237</v>
      </c>
      <c r="M29" s="38">
        <v>46239</v>
      </c>
      <c r="N29" s="52">
        <v>16511</v>
      </c>
      <c r="O29" s="27"/>
      <c r="P29" s="27"/>
      <c r="Q29" s="27"/>
      <c r="R29" s="46">
        <v>4473.3</v>
      </c>
      <c r="S29" s="46">
        <v>1043.8000000000002</v>
      </c>
      <c r="T29" s="46">
        <f t="shared" si="20"/>
        <v>3429.5</v>
      </c>
      <c r="U29" s="46">
        <v>3440.8</v>
      </c>
      <c r="V29" s="46"/>
      <c r="W29" s="46"/>
      <c r="X29" s="46">
        <v>3362</v>
      </c>
      <c r="Y29" s="46"/>
      <c r="Z29" s="46">
        <f>+T29-X29</f>
        <v>67.5</v>
      </c>
      <c r="AA29" s="39">
        <f>Z29/T29</f>
        <v>1.9682169412450795E-2</v>
      </c>
      <c r="AB29" s="73">
        <v>3429.45</v>
      </c>
      <c r="AC29" s="73"/>
      <c r="AD29" s="73"/>
      <c r="AE29" s="39"/>
      <c r="AF29" s="74"/>
      <c r="AG29" s="74"/>
      <c r="AH29" s="75"/>
      <c r="AI29" s="75">
        <f t="shared" si="21"/>
        <v>0</v>
      </c>
      <c r="AJ29" s="32"/>
      <c r="AK29" s="32"/>
      <c r="AL29" s="32"/>
      <c r="AM29" s="33"/>
      <c r="AN29" s="33"/>
      <c r="AO29" s="33"/>
      <c r="AP29" s="34">
        <f t="shared" si="22"/>
        <v>0</v>
      </c>
      <c r="AQ29" s="32">
        <f t="shared" si="23"/>
        <v>0</v>
      </c>
      <c r="AR29" s="32">
        <f t="shared" si="24"/>
        <v>0</v>
      </c>
      <c r="AS29" s="32"/>
      <c r="AT29" s="32"/>
      <c r="AU29" s="32"/>
      <c r="AV29" s="32"/>
      <c r="AW29" s="32"/>
      <c r="AX29" s="32"/>
      <c r="AY29" s="32"/>
      <c r="AZ29" s="35"/>
      <c r="BB29" s="45">
        <f>IF(AND(AB29="",AC29=""),T29,IF(AC29="",AB29,AC29))</f>
        <v>3429.45</v>
      </c>
      <c r="BC29" s="45">
        <f t="shared" si="5"/>
        <v>3362</v>
      </c>
      <c r="BD29" s="45"/>
      <c r="BE29" s="45">
        <f t="shared" si="25"/>
        <v>67.449999999999818</v>
      </c>
      <c r="BF29" s="39">
        <f t="shared" si="26"/>
        <v>1.966787677324347E-2</v>
      </c>
    </row>
    <row r="30" spans="1:58" s="20" customFormat="1" ht="12.75" x14ac:dyDescent="0.2">
      <c r="A30" s="21">
        <f>IF(ISBLANK(F30),"",COUNTA($F$6:F30))</f>
        <v>25</v>
      </c>
      <c r="B30" s="37" t="s">
        <v>60</v>
      </c>
      <c r="C30" s="37" t="s">
        <v>61</v>
      </c>
      <c r="D30" s="22"/>
      <c r="E30" s="23" t="s">
        <v>63</v>
      </c>
      <c r="F30" s="36">
        <v>46237</v>
      </c>
      <c r="G30" s="24" t="s">
        <v>59</v>
      </c>
      <c r="H30" s="24">
        <v>59</v>
      </c>
      <c r="I30" s="24">
        <v>0</v>
      </c>
      <c r="J30" s="24" t="s">
        <v>63</v>
      </c>
      <c r="K30" s="25">
        <v>162006393</v>
      </c>
      <c r="L30" s="26">
        <v>46237</v>
      </c>
      <c r="M30" s="38">
        <v>46239</v>
      </c>
      <c r="N30" s="52">
        <v>16512</v>
      </c>
      <c r="O30" s="27"/>
      <c r="P30" s="27"/>
      <c r="Q30" s="27"/>
      <c r="R30" s="46">
        <v>5300.76</v>
      </c>
      <c r="S30" s="46">
        <v>1222.7600000000002</v>
      </c>
      <c r="T30" s="46">
        <f t="shared" si="20"/>
        <v>4078</v>
      </c>
      <c r="U30" s="46">
        <v>4078.2</v>
      </c>
      <c r="V30" s="46"/>
      <c r="W30" s="46"/>
      <c r="X30" s="46">
        <v>4099.8</v>
      </c>
      <c r="Y30" s="46"/>
      <c r="Z30" s="46">
        <f>+T30-X30</f>
        <v>-21.800000000000182</v>
      </c>
      <c r="AA30" s="39">
        <f>Z30/T30</f>
        <v>-5.3457577243747377E-3</v>
      </c>
      <c r="AB30" s="73">
        <v>4077.95</v>
      </c>
      <c r="AC30" s="73"/>
      <c r="AD30" s="73"/>
      <c r="AE30" s="39"/>
      <c r="AF30" s="74"/>
      <c r="AG30" s="74"/>
      <c r="AH30" s="75"/>
      <c r="AI30" s="75">
        <f t="shared" si="21"/>
        <v>0</v>
      </c>
      <c r="AJ30" s="32"/>
      <c r="AK30" s="32"/>
      <c r="AL30" s="32"/>
      <c r="AM30" s="33"/>
      <c r="AN30" s="33"/>
      <c r="AO30" s="33"/>
      <c r="AP30" s="34">
        <f t="shared" si="22"/>
        <v>0</v>
      </c>
      <c r="AQ30" s="32">
        <f t="shared" si="23"/>
        <v>0</v>
      </c>
      <c r="AR30" s="32">
        <f t="shared" si="24"/>
        <v>0</v>
      </c>
      <c r="AS30" s="32"/>
      <c r="AT30" s="32"/>
      <c r="AU30" s="32"/>
      <c r="AV30" s="32"/>
      <c r="AW30" s="32"/>
      <c r="AX30" s="32"/>
      <c r="AY30" s="32"/>
      <c r="AZ30" s="35"/>
      <c r="BB30" s="45">
        <f>IF(AND(AB30="",AC30=""),T30,IF(AC30="",AB30,AC30))</f>
        <v>4077.95</v>
      </c>
      <c r="BC30" s="45">
        <f t="shared" si="5"/>
        <v>4099.8</v>
      </c>
      <c r="BD30" s="45"/>
      <c r="BE30" s="45">
        <f t="shared" si="25"/>
        <v>-21.850000000000364</v>
      </c>
      <c r="BF30" s="39">
        <f t="shared" si="26"/>
        <v>-5.3580843315882646E-3</v>
      </c>
    </row>
    <row r="31" spans="1:58" s="20" customFormat="1" ht="12.75" x14ac:dyDescent="0.2">
      <c r="A31" s="21">
        <f>IF(ISBLANK(F31),"",COUNTA($F$6:F31))</f>
        <v>26</v>
      </c>
      <c r="B31" s="37" t="s">
        <v>60</v>
      </c>
      <c r="C31" s="37" t="s">
        <v>61</v>
      </c>
      <c r="D31" s="22"/>
      <c r="E31" s="23" t="s">
        <v>64</v>
      </c>
      <c r="F31" s="36">
        <v>46238</v>
      </c>
      <c r="G31" s="24" t="s">
        <v>59</v>
      </c>
      <c r="H31" s="24">
        <v>58</v>
      </c>
      <c r="I31" s="24">
        <v>1</v>
      </c>
      <c r="J31" s="24" t="s">
        <v>64</v>
      </c>
      <c r="K31" s="25">
        <v>162004374</v>
      </c>
      <c r="L31" s="26">
        <v>46238</v>
      </c>
      <c r="M31" s="38">
        <v>46240</v>
      </c>
      <c r="N31" s="52">
        <v>16516</v>
      </c>
      <c r="O31" s="27"/>
      <c r="P31" s="27"/>
      <c r="Q31" s="27"/>
      <c r="R31" s="46">
        <v>5094.79</v>
      </c>
      <c r="S31" s="46">
        <v>1187.5900000000001</v>
      </c>
      <c r="T31" s="46">
        <f t="shared" si="20"/>
        <v>3907.2</v>
      </c>
      <c r="U31" s="46">
        <v>3916.8</v>
      </c>
      <c r="V31" s="46"/>
      <c r="W31" s="46"/>
      <c r="X31" s="46">
        <v>3884.2</v>
      </c>
      <c r="Y31" s="46"/>
      <c r="Z31" s="46">
        <f>+T31-X31</f>
        <v>23</v>
      </c>
      <c r="AA31" s="39">
        <f>Z31/T31</f>
        <v>5.8865683865683867E-3</v>
      </c>
      <c r="AB31" s="73">
        <v>3907.2</v>
      </c>
      <c r="AC31" s="73"/>
      <c r="AD31" s="73"/>
      <c r="AE31" s="39"/>
      <c r="AF31" s="74"/>
      <c r="AG31" s="74"/>
      <c r="AH31" s="75"/>
      <c r="AI31" s="75">
        <f t="shared" si="21"/>
        <v>0</v>
      </c>
      <c r="AJ31" s="32"/>
      <c r="AK31" s="32"/>
      <c r="AL31" s="32"/>
      <c r="AM31" s="33"/>
      <c r="AN31" s="33"/>
      <c r="AO31" s="33"/>
      <c r="AP31" s="34">
        <f t="shared" si="22"/>
        <v>0</v>
      </c>
      <c r="AQ31" s="32">
        <f t="shared" si="23"/>
        <v>0</v>
      </c>
      <c r="AR31" s="32">
        <f t="shared" si="24"/>
        <v>0</v>
      </c>
      <c r="AS31" s="32"/>
      <c r="AT31" s="32"/>
      <c r="AU31" s="32"/>
      <c r="AV31" s="32"/>
      <c r="AW31" s="32"/>
      <c r="AX31" s="32"/>
      <c r="AY31" s="32"/>
      <c r="AZ31" s="35"/>
      <c r="BB31" s="45">
        <f>IF(AND(AB31="",AC31=""),T31,IF(AC31="",AB31,AC31))</f>
        <v>3907.2</v>
      </c>
      <c r="BC31" s="45">
        <f t="shared" si="5"/>
        <v>3884.2</v>
      </c>
      <c r="BD31" s="45"/>
      <c r="BE31" s="45">
        <f t="shared" si="25"/>
        <v>23</v>
      </c>
      <c r="BF31" s="39">
        <f t="shared" si="26"/>
        <v>5.8865683865683867E-3</v>
      </c>
    </row>
    <row r="32" spans="1:58" s="20" customFormat="1" ht="12.75" x14ac:dyDescent="0.2">
      <c r="A32" s="21">
        <f>IF(ISBLANK(F32),"",COUNTA($F$6:F32))</f>
        <v>27</v>
      </c>
      <c r="B32" s="37" t="s">
        <v>60</v>
      </c>
      <c r="C32" s="37" t="s">
        <v>61</v>
      </c>
      <c r="D32" s="22"/>
      <c r="E32" s="23" t="s">
        <v>63</v>
      </c>
      <c r="F32" s="36">
        <v>46238</v>
      </c>
      <c r="G32" s="24" t="s">
        <v>59</v>
      </c>
      <c r="H32" s="24">
        <v>59</v>
      </c>
      <c r="I32" s="24">
        <v>1</v>
      </c>
      <c r="J32" s="24" t="s">
        <v>63</v>
      </c>
      <c r="K32" s="25">
        <v>162006396</v>
      </c>
      <c r="L32" s="26">
        <v>46238</v>
      </c>
      <c r="M32" s="38">
        <v>46240</v>
      </c>
      <c r="N32" s="52">
        <v>16515</v>
      </c>
      <c r="O32" s="27"/>
      <c r="P32" s="27"/>
      <c r="Q32" s="27"/>
      <c r="R32" s="46">
        <v>5197.88</v>
      </c>
      <c r="S32" s="46">
        <v>1215.58</v>
      </c>
      <c r="T32" s="46">
        <f t="shared" si="20"/>
        <v>3982.3</v>
      </c>
      <c r="U32" s="46">
        <v>3990.4</v>
      </c>
      <c r="V32" s="46"/>
      <c r="W32" s="46"/>
      <c r="X32" s="46">
        <v>3944.4</v>
      </c>
      <c r="Y32" s="46"/>
      <c r="Z32" s="46">
        <f>+T32-X32</f>
        <v>37.900000000000091</v>
      </c>
      <c r="AA32" s="39">
        <f>Z32/T32</f>
        <v>9.5171132260251836E-3</v>
      </c>
      <c r="AB32" s="73">
        <v>3982.3</v>
      </c>
      <c r="AC32" s="73"/>
      <c r="AD32" s="73"/>
      <c r="AE32" s="39"/>
      <c r="AF32" s="74"/>
      <c r="AG32" s="74"/>
      <c r="AH32" s="75"/>
      <c r="AI32" s="75">
        <f t="shared" si="21"/>
        <v>0</v>
      </c>
      <c r="AJ32" s="32"/>
      <c r="AK32" s="32"/>
      <c r="AL32" s="32"/>
      <c r="AM32" s="33"/>
      <c r="AN32" s="33"/>
      <c r="AO32" s="33"/>
      <c r="AP32" s="34">
        <f t="shared" si="22"/>
        <v>0</v>
      </c>
      <c r="AQ32" s="32">
        <f t="shared" si="23"/>
        <v>0</v>
      </c>
      <c r="AR32" s="32">
        <f t="shared" si="24"/>
        <v>0</v>
      </c>
      <c r="AS32" s="32"/>
      <c r="AT32" s="32"/>
      <c r="AU32" s="32"/>
      <c r="AV32" s="32"/>
      <c r="AW32" s="32"/>
      <c r="AX32" s="32"/>
      <c r="AY32" s="32"/>
      <c r="AZ32" s="35"/>
      <c r="BB32" s="45">
        <f>IF(AND(AB32="",AC32=""),T32,IF(AC32="",AB32,AC32))</f>
        <v>3982.3</v>
      </c>
      <c r="BC32" s="45">
        <f t="shared" si="5"/>
        <v>3944.4</v>
      </c>
      <c r="BD32" s="45"/>
      <c r="BE32" s="45">
        <f t="shared" si="25"/>
        <v>37.900000000000091</v>
      </c>
      <c r="BF32" s="39">
        <f t="shared" si="26"/>
        <v>9.5171132260251836E-3</v>
      </c>
    </row>
    <row r="33" spans="1:58" s="20" customFormat="1" ht="12.75" x14ac:dyDescent="0.2">
      <c r="A33" s="21">
        <f>IF(ISBLANK(F33),"",COUNTA($F$6:F33))</f>
        <v>28</v>
      </c>
      <c r="B33" s="37" t="s">
        <v>60</v>
      </c>
      <c r="C33" s="37" t="s">
        <v>61</v>
      </c>
      <c r="D33" s="22"/>
      <c r="E33" s="23" t="s">
        <v>63</v>
      </c>
      <c r="F33" s="36">
        <v>46238</v>
      </c>
      <c r="G33" s="24" t="s">
        <v>59</v>
      </c>
      <c r="H33" s="24">
        <v>58</v>
      </c>
      <c r="I33" s="24">
        <v>0</v>
      </c>
      <c r="J33" s="24" t="s">
        <v>63</v>
      </c>
      <c r="K33" s="25">
        <v>162006397</v>
      </c>
      <c r="L33" s="26">
        <v>46238</v>
      </c>
      <c r="M33" s="38">
        <v>46240</v>
      </c>
      <c r="N33" s="52">
        <v>16518</v>
      </c>
      <c r="O33" s="27"/>
      <c r="P33" s="27"/>
      <c r="Q33" s="27"/>
      <c r="R33" s="46">
        <v>5204.58</v>
      </c>
      <c r="S33" s="46">
        <v>1208.6799999999998</v>
      </c>
      <c r="T33" s="46">
        <f t="shared" si="20"/>
        <v>3995.9</v>
      </c>
      <c r="U33" s="46">
        <v>3998.6</v>
      </c>
      <c r="V33" s="46"/>
      <c r="W33" s="46"/>
      <c r="X33" s="46">
        <v>4022.2</v>
      </c>
      <c r="Y33" s="46"/>
      <c r="Z33" s="46">
        <f>+T33-X33</f>
        <v>-26.299999999999727</v>
      </c>
      <c r="AA33" s="39">
        <f>Z33/T33</f>
        <v>-6.5817462899471274E-3</v>
      </c>
      <c r="AB33" s="73">
        <v>4188.25</v>
      </c>
      <c r="AC33" s="73"/>
      <c r="AD33" s="73"/>
      <c r="AE33" s="39"/>
      <c r="AF33" s="74"/>
      <c r="AG33" s="74"/>
      <c r="AH33" s="75"/>
      <c r="AI33" s="75">
        <f t="shared" si="21"/>
        <v>0</v>
      </c>
      <c r="AJ33" s="32"/>
      <c r="AK33" s="32"/>
      <c r="AL33" s="32"/>
      <c r="AM33" s="33"/>
      <c r="AN33" s="33"/>
      <c r="AO33" s="33"/>
      <c r="AP33" s="34">
        <f t="shared" si="22"/>
        <v>0</v>
      </c>
      <c r="AQ33" s="32">
        <f t="shared" si="23"/>
        <v>0</v>
      </c>
      <c r="AR33" s="32">
        <f t="shared" si="24"/>
        <v>0</v>
      </c>
      <c r="AS33" s="32"/>
      <c r="AT33" s="32"/>
      <c r="AU33" s="32"/>
      <c r="AV33" s="32"/>
      <c r="AW33" s="32"/>
      <c r="AX33" s="32"/>
      <c r="AY33" s="32"/>
      <c r="AZ33" s="35"/>
      <c r="BB33" s="45">
        <f>IF(AND(AB33="",AC33=""),T33,IF(AC33="",AB33,AC33))</f>
        <v>4188.25</v>
      </c>
      <c r="BC33" s="45">
        <f t="shared" si="5"/>
        <v>4022.2</v>
      </c>
      <c r="BD33" s="45"/>
      <c r="BE33" s="45">
        <f t="shared" si="25"/>
        <v>166.05000000000018</v>
      </c>
      <c r="BF33" s="39">
        <f t="shared" si="26"/>
        <v>3.9646630454247045E-2</v>
      </c>
    </row>
    <row r="34" spans="1:58" s="20" customFormat="1" ht="12.75" x14ac:dyDescent="0.2">
      <c r="A34" s="21">
        <f>IF(ISBLANK(F34),"",COUNTA($F$6:F34))</f>
        <v>29</v>
      </c>
      <c r="B34" s="37" t="s">
        <v>60</v>
      </c>
      <c r="C34" s="37" t="s">
        <v>61</v>
      </c>
      <c r="D34" s="22"/>
      <c r="E34" s="23" t="s">
        <v>64</v>
      </c>
      <c r="F34" s="36">
        <v>46238</v>
      </c>
      <c r="G34" s="24" t="s">
        <v>59</v>
      </c>
      <c r="H34" s="24">
        <v>58</v>
      </c>
      <c r="I34" s="24">
        <v>6</v>
      </c>
      <c r="J34" s="24" t="s">
        <v>64</v>
      </c>
      <c r="K34" s="25">
        <v>162004375</v>
      </c>
      <c r="L34" s="26">
        <v>46239</v>
      </c>
      <c r="M34" s="38">
        <v>46241</v>
      </c>
      <c r="N34" s="52">
        <v>16521</v>
      </c>
      <c r="O34" s="27"/>
      <c r="P34" s="27"/>
      <c r="Q34" s="27"/>
      <c r="R34" s="46">
        <v>4643.5600000000004</v>
      </c>
      <c r="S34" s="46">
        <v>1092.1600000000003</v>
      </c>
      <c r="T34" s="46">
        <f t="shared" si="20"/>
        <v>3551.4</v>
      </c>
      <c r="U34" s="46">
        <v>3569.6</v>
      </c>
      <c r="V34" s="46"/>
      <c r="W34" s="46"/>
      <c r="X34" s="46">
        <v>3585.4</v>
      </c>
      <c r="Y34" s="46"/>
      <c r="Z34" s="46">
        <f>+T34-X34</f>
        <v>-34</v>
      </c>
      <c r="AA34" s="39">
        <f>Z34/T34</f>
        <v>-9.5736892493101314E-3</v>
      </c>
      <c r="AB34" s="73">
        <v>3551.35</v>
      </c>
      <c r="AC34" s="73"/>
      <c r="AD34" s="73"/>
      <c r="AE34" s="39"/>
      <c r="AF34" s="74"/>
      <c r="AG34" s="74"/>
      <c r="AH34" s="75"/>
      <c r="AI34" s="75">
        <f t="shared" si="21"/>
        <v>0</v>
      </c>
      <c r="AJ34" s="32"/>
      <c r="AK34" s="32"/>
      <c r="AL34" s="32"/>
      <c r="AM34" s="33"/>
      <c r="AN34" s="33"/>
      <c r="AO34" s="33"/>
      <c r="AP34" s="34">
        <f t="shared" si="22"/>
        <v>0</v>
      </c>
      <c r="AQ34" s="32">
        <f t="shared" si="23"/>
        <v>0</v>
      </c>
      <c r="AR34" s="32">
        <f t="shared" si="24"/>
        <v>0</v>
      </c>
      <c r="AS34" s="32"/>
      <c r="AT34" s="32"/>
      <c r="AU34" s="32"/>
      <c r="AV34" s="32"/>
      <c r="AW34" s="32"/>
      <c r="AX34" s="32"/>
      <c r="AY34" s="32"/>
      <c r="AZ34" s="35"/>
      <c r="BB34" s="45">
        <f>IF(AND(AB34="",AC34=""),T34,IF(AC34="",AB34,AC34))</f>
        <v>3551.35</v>
      </c>
      <c r="BC34" s="45">
        <f t="shared" si="5"/>
        <v>3585.4</v>
      </c>
      <c r="BD34" s="45"/>
      <c r="BE34" s="45">
        <f t="shared" si="25"/>
        <v>-34.050000000000182</v>
      </c>
      <c r="BF34" s="39">
        <f t="shared" si="26"/>
        <v>-9.5879031917440356E-3</v>
      </c>
    </row>
    <row r="35" spans="1:58" s="20" customFormat="1" ht="12.75" x14ac:dyDescent="0.2">
      <c r="A35" s="21">
        <f>IF(ISBLANK(F35),"",COUNTA($F$6:F35))</f>
        <v>30</v>
      </c>
      <c r="B35" s="37" t="s">
        <v>60</v>
      </c>
      <c r="C35" s="37" t="s">
        <v>61</v>
      </c>
      <c r="D35" s="22"/>
      <c r="E35" s="23" t="s">
        <v>63</v>
      </c>
      <c r="F35" s="36">
        <v>46239</v>
      </c>
      <c r="G35" s="24" t="s">
        <v>59</v>
      </c>
      <c r="H35" s="24">
        <v>59</v>
      </c>
      <c r="I35" s="24">
        <v>3</v>
      </c>
      <c r="J35" s="24" t="s">
        <v>63</v>
      </c>
      <c r="K35" s="25">
        <v>162006398</v>
      </c>
      <c r="L35" s="26">
        <v>46239</v>
      </c>
      <c r="M35" s="38">
        <v>46240</v>
      </c>
      <c r="N35" s="52">
        <v>16519</v>
      </c>
      <c r="O35" s="27"/>
      <c r="P35" s="27"/>
      <c r="Q35" s="27"/>
      <c r="R35" s="46">
        <v>5017.92</v>
      </c>
      <c r="S35" s="46">
        <v>1162.42</v>
      </c>
      <c r="T35" s="46">
        <f t="shared" si="20"/>
        <v>3855.5</v>
      </c>
      <c r="U35" s="46">
        <v>3862</v>
      </c>
      <c r="V35" s="46"/>
      <c r="W35" s="46"/>
      <c r="X35" s="46">
        <v>3969</v>
      </c>
      <c r="Y35" s="46"/>
      <c r="Z35" s="46">
        <f>+T35-X35</f>
        <v>-113.5</v>
      </c>
      <c r="AA35" s="39">
        <f>Z35/T35</f>
        <v>-2.9438464531189212E-2</v>
      </c>
      <c r="AB35" s="73">
        <v>3855.45</v>
      </c>
      <c r="AC35" s="73"/>
      <c r="AD35" s="73"/>
      <c r="AE35" s="39"/>
      <c r="AF35" s="74"/>
      <c r="AG35" s="74"/>
      <c r="AH35" s="75"/>
      <c r="AI35" s="75">
        <f t="shared" si="21"/>
        <v>0</v>
      </c>
      <c r="AJ35" s="32"/>
      <c r="AK35" s="32"/>
      <c r="AL35" s="32"/>
      <c r="AM35" s="33"/>
      <c r="AN35" s="33"/>
      <c r="AO35" s="33"/>
      <c r="AP35" s="34">
        <f t="shared" si="22"/>
        <v>0</v>
      </c>
      <c r="AQ35" s="32">
        <f t="shared" si="23"/>
        <v>0</v>
      </c>
      <c r="AR35" s="32">
        <f t="shared" si="24"/>
        <v>0</v>
      </c>
      <c r="AS35" s="32"/>
      <c r="AT35" s="32"/>
      <c r="AU35" s="32"/>
      <c r="AV35" s="32"/>
      <c r="AW35" s="32"/>
      <c r="AX35" s="32"/>
      <c r="AY35" s="32"/>
      <c r="AZ35" s="35"/>
      <c r="BB35" s="45">
        <f>IF(AND(AB35="",AC35=""),T35,IF(AC35="",AB35,AC35))</f>
        <v>3855.45</v>
      </c>
      <c r="BC35" s="45">
        <f t="shared" si="5"/>
        <v>3969</v>
      </c>
      <c r="BD35" s="45"/>
      <c r="BE35" s="45">
        <f t="shared" si="25"/>
        <v>-113.55000000000018</v>
      </c>
      <c r="BF35" s="39">
        <f t="shared" si="26"/>
        <v>-2.9451814963233913E-2</v>
      </c>
    </row>
    <row r="36" spans="1:58" s="20" customFormat="1" ht="12.75" x14ac:dyDescent="0.2">
      <c r="A36" s="21">
        <f>IF(ISBLANK(F36),"",COUNTA($F$6:F36))</f>
        <v>31</v>
      </c>
      <c r="B36" s="37" t="s">
        <v>60</v>
      </c>
      <c r="C36" s="37" t="s">
        <v>61</v>
      </c>
      <c r="D36" s="22"/>
      <c r="E36" s="23" t="s">
        <v>63</v>
      </c>
      <c r="F36" s="36">
        <v>46239</v>
      </c>
      <c r="G36" s="24" t="s">
        <v>59</v>
      </c>
      <c r="H36" s="24">
        <v>58</v>
      </c>
      <c r="I36" s="24">
        <v>1</v>
      </c>
      <c r="J36" s="24" t="s">
        <v>63</v>
      </c>
      <c r="K36" s="25">
        <v>162006399</v>
      </c>
      <c r="L36" s="26">
        <v>46239</v>
      </c>
      <c r="M36" s="38">
        <v>46240</v>
      </c>
      <c r="N36" s="52">
        <v>16520</v>
      </c>
      <c r="O36" s="27"/>
      <c r="P36" s="27"/>
      <c r="Q36" s="27"/>
      <c r="R36" s="46">
        <v>5105.68</v>
      </c>
      <c r="S36" s="46">
        <v>1202.5800000000004</v>
      </c>
      <c r="T36" s="46">
        <f t="shared" si="8"/>
        <v>3903.1</v>
      </c>
      <c r="U36" s="46">
        <v>3912.8</v>
      </c>
      <c r="V36" s="46"/>
      <c r="W36" s="46"/>
      <c r="X36" s="46">
        <v>3800.4</v>
      </c>
      <c r="Y36" s="46"/>
      <c r="Z36" s="46">
        <f>+T36-X36</f>
        <v>102.69999999999982</v>
      </c>
      <c r="AA36" s="39">
        <f>Z36/T36</f>
        <v>2.6312418334144608E-2</v>
      </c>
      <c r="AB36" s="73">
        <v>3903.05</v>
      </c>
      <c r="AC36" s="73"/>
      <c r="AD36" s="73"/>
      <c r="AE36" s="39"/>
      <c r="AF36" s="74"/>
      <c r="AG36" s="74"/>
      <c r="AH36" s="75"/>
      <c r="AI36" s="75">
        <f t="shared" si="9"/>
        <v>0</v>
      </c>
      <c r="AJ36" s="32"/>
      <c r="AK36" s="32"/>
      <c r="AL36" s="32"/>
      <c r="AM36" s="33"/>
      <c r="AN36" s="33"/>
      <c r="AO36" s="33"/>
      <c r="AP36" s="34">
        <f t="shared" si="10"/>
        <v>0</v>
      </c>
      <c r="AQ36" s="32">
        <f t="shared" si="11"/>
        <v>0</v>
      </c>
      <c r="AR36" s="32">
        <f t="shared" si="12"/>
        <v>0</v>
      </c>
      <c r="AS36" s="32"/>
      <c r="AT36" s="32"/>
      <c r="AU36" s="32"/>
      <c r="AV36" s="32"/>
      <c r="AW36" s="32"/>
      <c r="AX36" s="32"/>
      <c r="AY36" s="32"/>
      <c r="AZ36" s="35"/>
      <c r="BB36" s="45">
        <f>IF(AND(AB36="",AC36=""),T36,IF(AC36="",AB36,AC36))</f>
        <v>3903.05</v>
      </c>
      <c r="BC36" s="45">
        <f t="shared" si="5"/>
        <v>3800.4</v>
      </c>
      <c r="BD36" s="45"/>
      <c r="BE36" s="45">
        <f t="shared" si="6"/>
        <v>102.65000000000009</v>
      </c>
      <c r="BF36" s="39">
        <f t="shared" si="7"/>
        <v>2.6299944914874286E-2</v>
      </c>
    </row>
    <row r="37" spans="1:58" s="20" customFormat="1" ht="12.75" x14ac:dyDescent="0.2">
      <c r="A37" s="21">
        <f>IF(ISBLANK(F37),"",COUNTA($F$6:F37))</f>
        <v>32</v>
      </c>
      <c r="B37" s="37" t="s">
        <v>60</v>
      </c>
      <c r="C37" s="37" t="s">
        <v>61</v>
      </c>
      <c r="D37" s="22"/>
      <c r="E37" s="23" t="s">
        <v>64</v>
      </c>
      <c r="F37" s="36">
        <v>46239</v>
      </c>
      <c r="G37" s="24" t="s">
        <v>59</v>
      </c>
      <c r="H37" s="24">
        <v>59</v>
      </c>
      <c r="I37" s="24">
        <v>3</v>
      </c>
      <c r="J37" s="24" t="s">
        <v>64</v>
      </c>
      <c r="K37" s="25">
        <v>142000356</v>
      </c>
      <c r="L37" s="26">
        <v>46240</v>
      </c>
      <c r="M37" s="38">
        <v>46241</v>
      </c>
      <c r="N37" s="52">
        <v>16522</v>
      </c>
      <c r="O37" s="27"/>
      <c r="P37" s="27"/>
      <c r="Q37" s="27"/>
      <c r="R37" s="46">
        <v>5011.3599999999997</v>
      </c>
      <c r="S37" s="46">
        <v>1169.4599999999996</v>
      </c>
      <c r="T37" s="46">
        <f t="shared" si="8"/>
        <v>3841.9</v>
      </c>
      <c r="U37" s="46">
        <v>3854.8</v>
      </c>
      <c r="V37" s="46"/>
      <c r="W37" s="46"/>
      <c r="X37" s="46">
        <v>3788.6</v>
      </c>
      <c r="Y37" s="46"/>
      <c r="Z37" s="46">
        <f>+T37-X37</f>
        <v>53.300000000000182</v>
      </c>
      <c r="AA37" s="39">
        <f>Z37/T37</f>
        <v>1.3873343918373769E-2</v>
      </c>
      <c r="AB37" s="73">
        <v>3841.85</v>
      </c>
      <c r="AC37" s="73"/>
      <c r="AD37" s="73"/>
      <c r="AE37" s="39"/>
      <c r="AF37" s="74"/>
      <c r="AG37" s="74"/>
      <c r="AH37" s="75"/>
      <c r="AI37" s="75">
        <f t="shared" si="9"/>
        <v>0</v>
      </c>
      <c r="AJ37" s="32"/>
      <c r="AK37" s="32"/>
      <c r="AL37" s="32"/>
      <c r="AM37" s="33"/>
      <c r="AN37" s="33"/>
      <c r="AO37" s="33"/>
      <c r="AP37" s="34">
        <f t="shared" si="10"/>
        <v>0</v>
      </c>
      <c r="AQ37" s="32">
        <f t="shared" si="11"/>
        <v>0</v>
      </c>
      <c r="AR37" s="32">
        <f t="shared" si="12"/>
        <v>0</v>
      </c>
      <c r="AS37" s="32"/>
      <c r="AT37" s="32"/>
      <c r="AU37" s="32"/>
      <c r="AV37" s="32"/>
      <c r="AW37" s="32"/>
      <c r="AX37" s="32"/>
      <c r="AY37" s="32"/>
      <c r="AZ37" s="35"/>
      <c r="BB37" s="45">
        <f>IF(AND(AB37="",AC37=""),T37,IF(AC37="",AB37,AC37))</f>
        <v>3841.85</v>
      </c>
      <c r="BC37" s="45">
        <f t="shared" si="5"/>
        <v>3788.6</v>
      </c>
      <c r="BD37" s="45"/>
      <c r="BE37" s="45">
        <f t="shared" si="6"/>
        <v>53.25</v>
      </c>
      <c r="BF37" s="39">
        <f t="shared" si="7"/>
        <v>1.3860509910589951E-2</v>
      </c>
    </row>
    <row r="38" spans="1:58" s="20" customFormat="1" ht="12.75" x14ac:dyDescent="0.2">
      <c r="A38" s="21">
        <f>IF(ISBLANK(F38),"",COUNTA($F$6:F38))</f>
        <v>33</v>
      </c>
      <c r="B38" s="37" t="s">
        <v>60</v>
      </c>
      <c r="C38" s="37" t="s">
        <v>61</v>
      </c>
      <c r="D38" s="22"/>
      <c r="E38" s="23" t="s">
        <v>65</v>
      </c>
      <c r="F38" s="36">
        <v>46239</v>
      </c>
      <c r="G38" s="24" t="s">
        <v>59</v>
      </c>
      <c r="H38" s="24">
        <v>58</v>
      </c>
      <c r="I38" s="24">
        <v>1</v>
      </c>
      <c r="J38" s="24" t="s">
        <v>67</v>
      </c>
      <c r="K38" s="25">
        <v>162011692</v>
      </c>
      <c r="L38" s="26">
        <v>46239</v>
      </c>
      <c r="M38" s="38">
        <v>46241</v>
      </c>
      <c r="N38" s="52">
        <v>16523</v>
      </c>
      <c r="O38" s="27"/>
      <c r="P38" s="27"/>
      <c r="Q38" s="27"/>
      <c r="R38" s="46">
        <v>5127.0200000000004</v>
      </c>
      <c r="S38" s="46">
        <v>1193.0200000000004</v>
      </c>
      <c r="T38" s="46">
        <f t="shared" si="8"/>
        <v>3934</v>
      </c>
      <c r="U38" s="46">
        <v>3957.4</v>
      </c>
      <c r="V38" s="46"/>
      <c r="W38" s="46"/>
      <c r="X38" s="46">
        <v>4142</v>
      </c>
      <c r="Y38" s="46"/>
      <c r="Z38" s="46">
        <f>+T38-X38</f>
        <v>-208</v>
      </c>
      <c r="AA38" s="39">
        <f>Z38/T38</f>
        <v>-5.2872394509405188E-2</v>
      </c>
      <c r="AB38" s="73">
        <v>4057.01</v>
      </c>
      <c r="AC38" s="73"/>
      <c r="AD38" s="73"/>
      <c r="AE38" s="39"/>
      <c r="AF38" s="74"/>
      <c r="AG38" s="74"/>
      <c r="AH38" s="75"/>
      <c r="AI38" s="75">
        <f t="shared" si="9"/>
        <v>0</v>
      </c>
      <c r="AJ38" s="32"/>
      <c r="AK38" s="32"/>
      <c r="AL38" s="32"/>
      <c r="AM38" s="33"/>
      <c r="AN38" s="33"/>
      <c r="AO38" s="33"/>
      <c r="AP38" s="34">
        <f t="shared" si="10"/>
        <v>0</v>
      </c>
      <c r="AQ38" s="32">
        <f t="shared" si="11"/>
        <v>0</v>
      </c>
      <c r="AR38" s="32">
        <f t="shared" si="12"/>
        <v>0</v>
      </c>
      <c r="AS38" s="32"/>
      <c r="AT38" s="32"/>
      <c r="AU38" s="32"/>
      <c r="AV38" s="32"/>
      <c r="AW38" s="32"/>
      <c r="AX38" s="32"/>
      <c r="AY38" s="32"/>
      <c r="AZ38" s="35"/>
      <c r="BB38" s="45">
        <f>IF(AND(AB38="",AC38=""),T38,IF(AC38="",AB38,AC38))</f>
        <v>4057.01</v>
      </c>
      <c r="BC38" s="45">
        <f t="shared" ref="BC38:BC69" si="27">+X38</f>
        <v>4142</v>
      </c>
      <c r="BD38" s="45"/>
      <c r="BE38" s="45">
        <f t="shared" si="6"/>
        <v>-84.989999999999782</v>
      </c>
      <c r="BF38" s="39">
        <f t="shared" si="7"/>
        <v>-2.0948925440164006E-2</v>
      </c>
    </row>
    <row r="39" spans="1:58" s="20" customFormat="1" ht="12.75" x14ac:dyDescent="0.2">
      <c r="A39" s="21">
        <f>IF(ISBLANK(F39),"",COUNTA($F$6:F39))</f>
        <v>34</v>
      </c>
      <c r="B39" s="37" t="s">
        <v>60</v>
      </c>
      <c r="C39" s="37" t="s">
        <v>61</v>
      </c>
      <c r="D39" s="22"/>
      <c r="E39" s="23" t="s">
        <v>64</v>
      </c>
      <c r="F39" s="36">
        <v>46240</v>
      </c>
      <c r="G39" s="24" t="s">
        <v>59</v>
      </c>
      <c r="H39" s="24">
        <v>58</v>
      </c>
      <c r="I39" s="24">
        <v>0</v>
      </c>
      <c r="J39" s="24" t="s">
        <v>64</v>
      </c>
      <c r="K39" s="25">
        <v>162004376</v>
      </c>
      <c r="L39" s="26">
        <v>46240</v>
      </c>
      <c r="M39" s="38">
        <v>46241</v>
      </c>
      <c r="N39" s="52">
        <v>16524</v>
      </c>
      <c r="O39" s="27"/>
      <c r="P39" s="27"/>
      <c r="Q39" s="27"/>
      <c r="R39" s="46">
        <v>5184.3999999999996</v>
      </c>
      <c r="S39" s="46">
        <v>1210.5999999999995</v>
      </c>
      <c r="T39" s="46">
        <f t="shared" si="8"/>
        <v>3973.8</v>
      </c>
      <c r="U39" s="46">
        <v>3990.4</v>
      </c>
      <c r="V39" s="46"/>
      <c r="W39" s="46"/>
      <c r="X39" s="46">
        <v>3862.8</v>
      </c>
      <c r="Y39" s="46"/>
      <c r="Z39" s="46">
        <f>+T39-X39</f>
        <v>111</v>
      </c>
      <c r="AA39" s="39">
        <f>Z39/T39</f>
        <v>2.7932960893854747E-2</v>
      </c>
      <c r="AB39" s="73">
        <v>3973.75</v>
      </c>
      <c r="AC39" s="73"/>
      <c r="AD39" s="73"/>
      <c r="AE39" s="39"/>
      <c r="AF39" s="74"/>
      <c r="AG39" s="74"/>
      <c r="AH39" s="75"/>
      <c r="AI39" s="75">
        <f t="shared" si="9"/>
        <v>0</v>
      </c>
      <c r="AJ39" s="32"/>
      <c r="AK39" s="32"/>
      <c r="AL39" s="32"/>
      <c r="AM39" s="33"/>
      <c r="AN39" s="33"/>
      <c r="AO39" s="33"/>
      <c r="AP39" s="34">
        <f t="shared" si="10"/>
        <v>0</v>
      </c>
      <c r="AQ39" s="32">
        <f t="shared" si="11"/>
        <v>0</v>
      </c>
      <c r="AR39" s="32">
        <f t="shared" si="12"/>
        <v>0</v>
      </c>
      <c r="AS39" s="32"/>
      <c r="AT39" s="32"/>
      <c r="AU39" s="32"/>
      <c r="AV39" s="32"/>
      <c r="AW39" s="32"/>
      <c r="AX39" s="32"/>
      <c r="AY39" s="32"/>
      <c r="AZ39" s="35"/>
      <c r="BB39" s="45">
        <f>IF(AND(AB39="",AC39=""),T39,IF(AC39="",AB39,AC39))</f>
        <v>3973.75</v>
      </c>
      <c r="BC39" s="45">
        <f t="shared" si="27"/>
        <v>3862.8</v>
      </c>
      <c r="BD39" s="45"/>
      <c r="BE39" s="45">
        <f t="shared" si="6"/>
        <v>110.94999999999982</v>
      </c>
      <c r="BF39" s="39">
        <f t="shared" si="7"/>
        <v>2.7920729789241854E-2</v>
      </c>
    </row>
    <row r="40" spans="1:58" s="20" customFormat="1" ht="12.75" x14ac:dyDescent="0.2">
      <c r="A40" s="21">
        <f>IF(ISBLANK(F40),"",COUNTA($F$6:F40))</f>
        <v>35</v>
      </c>
      <c r="B40" s="37" t="s">
        <v>60</v>
      </c>
      <c r="C40" s="37" t="s">
        <v>61</v>
      </c>
      <c r="D40" s="22"/>
      <c r="E40" s="23" t="s">
        <v>65</v>
      </c>
      <c r="F40" s="36">
        <v>46240</v>
      </c>
      <c r="G40" s="24" t="s">
        <v>59</v>
      </c>
      <c r="H40" s="24">
        <v>58</v>
      </c>
      <c r="I40" s="24">
        <v>4</v>
      </c>
      <c r="J40" s="24" t="s">
        <v>67</v>
      </c>
      <c r="K40" s="25">
        <v>162011693</v>
      </c>
      <c r="L40" s="26">
        <v>46240</v>
      </c>
      <c r="M40" s="38">
        <v>46242</v>
      </c>
      <c r="N40" s="52">
        <v>16525</v>
      </c>
      <c r="O40" s="27"/>
      <c r="P40" s="27"/>
      <c r="Q40" s="27"/>
      <c r="R40" s="46">
        <v>4859.6000000000004</v>
      </c>
      <c r="S40" s="46">
        <v>1121.9000000000005</v>
      </c>
      <c r="T40" s="46">
        <f t="shared" si="8"/>
        <v>3737.7</v>
      </c>
      <c r="U40" s="46">
        <v>3753.6</v>
      </c>
      <c r="V40" s="46"/>
      <c r="W40" s="46"/>
      <c r="X40" s="46">
        <v>3936</v>
      </c>
      <c r="Y40" s="46"/>
      <c r="Z40" s="46">
        <f>+T40-X40</f>
        <v>-198.30000000000018</v>
      </c>
      <c r="AA40" s="39">
        <f>Z40/T40</f>
        <v>-5.3054017176338439E-2</v>
      </c>
      <c r="AB40" s="73">
        <v>3765.15</v>
      </c>
      <c r="AC40" s="73"/>
      <c r="AD40" s="73"/>
      <c r="AE40" s="39"/>
      <c r="AF40" s="74"/>
      <c r="AG40" s="74"/>
      <c r="AH40" s="75"/>
      <c r="AI40" s="75">
        <f t="shared" si="9"/>
        <v>0</v>
      </c>
      <c r="AJ40" s="32"/>
      <c r="AK40" s="32"/>
      <c r="AL40" s="32"/>
      <c r="AM40" s="33"/>
      <c r="AN40" s="33"/>
      <c r="AO40" s="33"/>
      <c r="AP40" s="34">
        <f t="shared" si="10"/>
        <v>0</v>
      </c>
      <c r="AQ40" s="32">
        <f t="shared" si="11"/>
        <v>0</v>
      </c>
      <c r="AR40" s="32">
        <f t="shared" si="12"/>
        <v>0</v>
      </c>
      <c r="AS40" s="32"/>
      <c r="AT40" s="32"/>
      <c r="AU40" s="32"/>
      <c r="AV40" s="32"/>
      <c r="AW40" s="32"/>
      <c r="AX40" s="32"/>
      <c r="AY40" s="32"/>
      <c r="AZ40" s="35"/>
      <c r="BB40" s="45">
        <f>IF(AND(AB40="",AC40=""),T40,IF(AC40="",AB40,AC40))</f>
        <v>3765.15</v>
      </c>
      <c r="BC40" s="45">
        <f t="shared" si="27"/>
        <v>3936</v>
      </c>
      <c r="BD40" s="45"/>
      <c r="BE40" s="45">
        <f t="shared" si="6"/>
        <v>-170.84999999999991</v>
      </c>
      <c r="BF40" s="39">
        <f t="shared" si="7"/>
        <v>-4.5376678219991209E-2</v>
      </c>
    </row>
    <row r="41" spans="1:58" s="20" customFormat="1" ht="12.75" x14ac:dyDescent="0.2">
      <c r="A41" s="21">
        <f>IF(ISBLANK(F41),"",COUNTA($F$6:F41))</f>
        <v>36</v>
      </c>
      <c r="B41" s="37" t="s">
        <v>60</v>
      </c>
      <c r="C41" s="37" t="s">
        <v>61</v>
      </c>
      <c r="D41" s="22"/>
      <c r="E41" s="23" t="s">
        <v>63</v>
      </c>
      <c r="F41" s="36">
        <v>46240</v>
      </c>
      <c r="G41" s="24" t="s">
        <v>59</v>
      </c>
      <c r="H41" s="24">
        <v>58</v>
      </c>
      <c r="I41" s="24">
        <v>3</v>
      </c>
      <c r="J41" s="24" t="s">
        <v>63</v>
      </c>
      <c r="K41" s="25">
        <v>162006402</v>
      </c>
      <c r="L41" s="26">
        <v>46240</v>
      </c>
      <c r="M41" s="38">
        <v>46242</v>
      </c>
      <c r="N41" s="52">
        <v>16526</v>
      </c>
      <c r="O41" s="27"/>
      <c r="P41" s="27"/>
      <c r="Q41" s="27"/>
      <c r="R41" s="46">
        <v>4935.2299999999996</v>
      </c>
      <c r="S41" s="46">
        <v>1149.9299999999994</v>
      </c>
      <c r="T41" s="46">
        <f t="shared" si="8"/>
        <v>3785.3</v>
      </c>
      <c r="U41" s="46">
        <v>3787.8</v>
      </c>
      <c r="V41" s="46"/>
      <c r="W41" s="46"/>
      <c r="X41" s="46">
        <v>3668.8</v>
      </c>
      <c r="Y41" s="46"/>
      <c r="Z41" s="46">
        <f>+T41-X41</f>
        <v>116.5</v>
      </c>
      <c r="AA41" s="39">
        <f>Z41/T41</f>
        <v>3.0776952949568063E-2</v>
      </c>
      <c r="AB41" s="73">
        <v>3785.25</v>
      </c>
      <c r="AC41" s="73"/>
      <c r="AD41" s="73"/>
      <c r="AE41" s="39"/>
      <c r="AF41" s="74"/>
      <c r="AG41" s="74"/>
      <c r="AH41" s="75"/>
      <c r="AI41" s="75">
        <f t="shared" si="9"/>
        <v>0</v>
      </c>
      <c r="AJ41" s="32"/>
      <c r="AK41" s="32"/>
      <c r="AL41" s="32"/>
      <c r="AM41" s="33"/>
      <c r="AN41" s="33"/>
      <c r="AO41" s="33"/>
      <c r="AP41" s="34">
        <f t="shared" si="10"/>
        <v>0</v>
      </c>
      <c r="AQ41" s="32">
        <f t="shared" si="11"/>
        <v>0</v>
      </c>
      <c r="AR41" s="32">
        <f t="shared" si="12"/>
        <v>0</v>
      </c>
      <c r="AS41" s="32"/>
      <c r="AT41" s="32"/>
      <c r="AU41" s="32"/>
      <c r="AV41" s="32"/>
      <c r="AW41" s="32"/>
      <c r="AX41" s="32"/>
      <c r="AY41" s="32"/>
      <c r="AZ41" s="35"/>
      <c r="BB41" s="45">
        <f>IF(AND(AB41="",AC41=""),T41,IF(AC41="",AB41,AC41))</f>
        <v>3785.25</v>
      </c>
      <c r="BC41" s="45">
        <f t="shared" si="27"/>
        <v>3668.8</v>
      </c>
      <c r="BD41" s="45"/>
      <c r="BE41" s="45">
        <f t="shared" si="6"/>
        <v>116.44999999999982</v>
      </c>
      <c r="BF41" s="39">
        <f t="shared" si="7"/>
        <v>3.0764150320322255E-2</v>
      </c>
    </row>
    <row r="42" spans="1:58" s="20" customFormat="1" ht="12.75" x14ac:dyDescent="0.2">
      <c r="A42" s="21">
        <f>IF(ISBLANK(F42),"",COUNTA($F$6:F42))</f>
        <v>37</v>
      </c>
      <c r="B42" s="37" t="s">
        <v>60</v>
      </c>
      <c r="C42" s="37" t="s">
        <v>61</v>
      </c>
      <c r="D42" s="22"/>
      <c r="E42" s="23" t="s">
        <v>64</v>
      </c>
      <c r="F42" s="36">
        <v>46240</v>
      </c>
      <c r="G42" s="24" t="s">
        <v>59</v>
      </c>
      <c r="H42" s="24">
        <v>59</v>
      </c>
      <c r="I42" s="24">
        <v>5</v>
      </c>
      <c r="J42" s="24" t="s">
        <v>64</v>
      </c>
      <c r="K42" s="25">
        <v>162004377</v>
      </c>
      <c r="L42" s="26">
        <v>46241</v>
      </c>
      <c r="M42" s="38">
        <v>46242</v>
      </c>
      <c r="N42" s="52">
        <v>16527</v>
      </c>
      <c r="O42" s="27"/>
      <c r="P42" s="27"/>
      <c r="Q42" s="27"/>
      <c r="R42" s="46">
        <v>4824.07</v>
      </c>
      <c r="S42" s="46">
        <v>1131.5699999999997</v>
      </c>
      <c r="T42" s="46">
        <f t="shared" si="8"/>
        <v>3692.5</v>
      </c>
      <c r="U42" s="46">
        <v>3711</v>
      </c>
      <c r="V42" s="46"/>
      <c r="W42" s="46"/>
      <c r="X42" s="46">
        <v>3548.4</v>
      </c>
      <c r="Y42" s="46"/>
      <c r="Z42" s="46">
        <f>+T42-X42</f>
        <v>144.09999999999991</v>
      </c>
      <c r="AA42" s="39">
        <f>Z42/T42</f>
        <v>3.9025050778605255E-2</v>
      </c>
      <c r="AB42" s="73">
        <v>3692.5</v>
      </c>
      <c r="AC42" s="73"/>
      <c r="AD42" s="73"/>
      <c r="AE42" s="39"/>
      <c r="AF42" s="74"/>
      <c r="AG42" s="74"/>
      <c r="AH42" s="75"/>
      <c r="AI42" s="75">
        <f t="shared" si="9"/>
        <v>0</v>
      </c>
      <c r="AJ42" s="32"/>
      <c r="AK42" s="32"/>
      <c r="AL42" s="32"/>
      <c r="AM42" s="33"/>
      <c r="AN42" s="33"/>
      <c r="AO42" s="33"/>
      <c r="AP42" s="34">
        <f t="shared" si="10"/>
        <v>0</v>
      </c>
      <c r="AQ42" s="32">
        <f t="shared" si="11"/>
        <v>0</v>
      </c>
      <c r="AR42" s="32">
        <f t="shared" si="12"/>
        <v>0</v>
      </c>
      <c r="AS42" s="32"/>
      <c r="AT42" s="32"/>
      <c r="AU42" s="32"/>
      <c r="AV42" s="32"/>
      <c r="AW42" s="32"/>
      <c r="AX42" s="32"/>
      <c r="AY42" s="32"/>
      <c r="AZ42" s="35"/>
      <c r="BB42" s="45">
        <f>IF(AND(AB42="",AC42=""),T42,IF(AC42="",AB42,AC42))</f>
        <v>3692.5</v>
      </c>
      <c r="BC42" s="45">
        <f t="shared" si="27"/>
        <v>3548.4</v>
      </c>
      <c r="BD42" s="45"/>
      <c r="BE42" s="45">
        <f t="shared" si="6"/>
        <v>144.09999999999991</v>
      </c>
      <c r="BF42" s="39">
        <f t="shared" si="7"/>
        <v>3.9025050778605255E-2</v>
      </c>
    </row>
    <row r="43" spans="1:58" s="20" customFormat="1" ht="12.75" x14ac:dyDescent="0.2">
      <c r="A43" s="21">
        <f>IF(ISBLANK(F43),"",COUNTA($F$6:F43))</f>
        <v>38</v>
      </c>
      <c r="B43" s="37" t="s">
        <v>60</v>
      </c>
      <c r="C43" s="37" t="s">
        <v>61</v>
      </c>
      <c r="D43" s="22"/>
      <c r="E43" s="23" t="s">
        <v>65</v>
      </c>
      <c r="F43" s="36">
        <v>46241</v>
      </c>
      <c r="G43" s="24" t="s">
        <v>59</v>
      </c>
      <c r="H43" s="24">
        <v>58</v>
      </c>
      <c r="I43" s="24">
        <v>3</v>
      </c>
      <c r="J43" s="24" t="s">
        <v>67</v>
      </c>
      <c r="K43" s="25">
        <v>162011695</v>
      </c>
      <c r="L43" s="26">
        <v>46241</v>
      </c>
      <c r="M43" s="38">
        <v>46242</v>
      </c>
      <c r="N43" s="52">
        <v>16528</v>
      </c>
      <c r="O43" s="27"/>
      <c r="P43" s="27"/>
      <c r="Q43" s="27"/>
      <c r="R43" s="46">
        <v>4905</v>
      </c>
      <c r="S43" s="46">
        <v>1166.0999999999999</v>
      </c>
      <c r="T43" s="46">
        <f t="shared" si="8"/>
        <v>3738.9</v>
      </c>
      <c r="U43" s="46">
        <v>3788.4</v>
      </c>
      <c r="V43" s="46"/>
      <c r="W43" s="46"/>
      <c r="X43" s="46">
        <v>3763</v>
      </c>
      <c r="Y43" s="46"/>
      <c r="Z43" s="46">
        <f>+T43-X43</f>
        <v>-24.099999999999909</v>
      </c>
      <c r="AA43" s="39">
        <f>Z43/T43</f>
        <v>-6.4457460750487871E-3</v>
      </c>
      <c r="AB43" s="73">
        <v>3770.26</v>
      </c>
      <c r="AC43" s="73"/>
      <c r="AD43" s="73"/>
      <c r="AE43" s="39"/>
      <c r="AF43" s="74"/>
      <c r="AG43" s="74"/>
      <c r="AH43" s="75"/>
      <c r="AI43" s="75">
        <f t="shared" si="9"/>
        <v>0</v>
      </c>
      <c r="AJ43" s="32"/>
      <c r="AK43" s="32"/>
      <c r="AL43" s="32"/>
      <c r="AM43" s="33"/>
      <c r="AN43" s="33"/>
      <c r="AO43" s="33"/>
      <c r="AP43" s="34">
        <f t="shared" si="10"/>
        <v>0</v>
      </c>
      <c r="AQ43" s="32">
        <f t="shared" si="11"/>
        <v>0</v>
      </c>
      <c r="AR43" s="32">
        <f t="shared" si="12"/>
        <v>0</v>
      </c>
      <c r="AS43" s="32"/>
      <c r="AT43" s="32"/>
      <c r="AU43" s="32"/>
      <c r="AV43" s="32"/>
      <c r="AW43" s="32"/>
      <c r="AX43" s="32"/>
      <c r="AY43" s="32"/>
      <c r="AZ43" s="35"/>
      <c r="BB43" s="45">
        <f>IF(AND(AB43="",AC43=""),T43,IF(AC43="",AB43,AC43))</f>
        <v>3770.26</v>
      </c>
      <c r="BC43" s="45">
        <f t="shared" si="27"/>
        <v>3763</v>
      </c>
      <c r="BD43" s="45"/>
      <c r="BE43" s="45">
        <f t="shared" si="6"/>
        <v>7.2600000000002183</v>
      </c>
      <c r="BF43" s="39">
        <f t="shared" si="7"/>
        <v>1.9255966432023834E-3</v>
      </c>
    </row>
    <row r="44" spans="1:58" s="20" customFormat="1" ht="12.75" x14ac:dyDescent="0.2">
      <c r="A44" s="21">
        <f>IF(ISBLANK(F44),"",COUNTA($F$6:F44))</f>
        <v>39</v>
      </c>
      <c r="B44" s="37" t="s">
        <v>60</v>
      </c>
      <c r="C44" s="37" t="s">
        <v>61</v>
      </c>
      <c r="D44" s="22"/>
      <c r="E44" s="23" t="s">
        <v>64</v>
      </c>
      <c r="F44" s="36">
        <v>46241</v>
      </c>
      <c r="G44" s="24" t="s">
        <v>59</v>
      </c>
      <c r="H44" s="24">
        <v>59</v>
      </c>
      <c r="I44" s="24">
        <v>2</v>
      </c>
      <c r="J44" s="24" t="s">
        <v>64</v>
      </c>
      <c r="K44" s="25">
        <v>162004378</v>
      </c>
      <c r="L44" s="26">
        <v>46241</v>
      </c>
      <c r="M44" s="38">
        <v>46242</v>
      </c>
      <c r="N44" s="52">
        <v>16529</v>
      </c>
      <c r="O44" s="27"/>
      <c r="P44" s="27"/>
      <c r="Q44" s="27"/>
      <c r="R44" s="46">
        <v>5079.55</v>
      </c>
      <c r="S44" s="46">
        <v>1204.9500000000003</v>
      </c>
      <c r="T44" s="46">
        <f t="shared" si="8"/>
        <v>3874.6</v>
      </c>
      <c r="U44" s="46">
        <v>3904.6</v>
      </c>
      <c r="V44" s="46"/>
      <c r="W44" s="46"/>
      <c r="X44" s="46">
        <v>3772</v>
      </c>
      <c r="Y44" s="46"/>
      <c r="Z44" s="46">
        <f>+T44-X44</f>
        <v>102.59999999999991</v>
      </c>
      <c r="AA44" s="39">
        <f>Z44/T44</f>
        <v>2.6480152789965392E-2</v>
      </c>
      <c r="AB44" s="73">
        <v>3874.6</v>
      </c>
      <c r="AC44" s="73"/>
      <c r="AD44" s="73"/>
      <c r="AE44" s="39"/>
      <c r="AF44" s="74"/>
      <c r="AG44" s="74"/>
      <c r="AH44" s="75"/>
      <c r="AI44" s="75">
        <f t="shared" si="9"/>
        <v>0</v>
      </c>
      <c r="AJ44" s="32"/>
      <c r="AK44" s="32"/>
      <c r="AL44" s="32"/>
      <c r="AM44" s="33"/>
      <c r="AN44" s="33"/>
      <c r="AO44" s="33"/>
      <c r="AP44" s="34">
        <f t="shared" si="10"/>
        <v>0</v>
      </c>
      <c r="AQ44" s="32">
        <f t="shared" si="11"/>
        <v>0</v>
      </c>
      <c r="AR44" s="32">
        <f t="shared" si="12"/>
        <v>0</v>
      </c>
      <c r="AS44" s="32"/>
      <c r="AT44" s="32"/>
      <c r="AU44" s="32"/>
      <c r="AV44" s="32"/>
      <c r="AW44" s="32"/>
      <c r="AX44" s="32"/>
      <c r="AY44" s="32"/>
      <c r="AZ44" s="35"/>
      <c r="BB44" s="45">
        <f>IF(AND(AB44="",AC44=""),T44,IF(AC44="",AB44,AC44))</f>
        <v>3874.6</v>
      </c>
      <c r="BC44" s="45">
        <f t="shared" si="27"/>
        <v>3772</v>
      </c>
      <c r="BD44" s="45"/>
      <c r="BE44" s="45">
        <f t="shared" si="6"/>
        <v>102.59999999999991</v>
      </c>
      <c r="BF44" s="39">
        <f t="shared" si="7"/>
        <v>2.6480152789965392E-2</v>
      </c>
    </row>
    <row r="45" spans="1:58" s="20" customFormat="1" ht="12.75" x14ac:dyDescent="0.2">
      <c r="A45" s="21">
        <f>IF(ISBLANK(F45),"",COUNTA($F$6:F45))</f>
        <v>40</v>
      </c>
      <c r="B45" s="37" t="s">
        <v>60</v>
      </c>
      <c r="C45" s="37" t="s">
        <v>61</v>
      </c>
      <c r="D45" s="22"/>
      <c r="E45" s="23" t="s">
        <v>63</v>
      </c>
      <c r="F45" s="36">
        <v>46241</v>
      </c>
      <c r="G45" s="24" t="s">
        <v>59</v>
      </c>
      <c r="H45" s="24">
        <v>58</v>
      </c>
      <c r="I45" s="24">
        <v>1</v>
      </c>
      <c r="J45" s="24" t="s">
        <v>63</v>
      </c>
      <c r="K45" s="25">
        <v>162006406</v>
      </c>
      <c r="L45" s="26">
        <v>46241</v>
      </c>
      <c r="M45" s="38">
        <v>46242</v>
      </c>
      <c r="N45" s="52">
        <v>16530</v>
      </c>
      <c r="O45" s="27"/>
      <c r="P45" s="27"/>
      <c r="Q45" s="27"/>
      <c r="R45" s="46">
        <v>5113.82</v>
      </c>
      <c r="S45" s="46">
        <v>1184.3199999999997</v>
      </c>
      <c r="T45" s="46">
        <f t="shared" si="8"/>
        <v>3929.5</v>
      </c>
      <c r="U45" s="46">
        <v>3932</v>
      </c>
      <c r="V45" s="46"/>
      <c r="W45" s="46"/>
      <c r="X45" s="46">
        <v>3857.6</v>
      </c>
      <c r="Y45" s="46"/>
      <c r="Z45" s="46">
        <f>+T45-X45</f>
        <v>71.900000000000091</v>
      </c>
      <c r="AA45" s="39">
        <f>Z45/T45</f>
        <v>1.8297493319760806E-2</v>
      </c>
      <c r="AB45" s="73">
        <v>3929.5</v>
      </c>
      <c r="AC45" s="73"/>
      <c r="AD45" s="73"/>
      <c r="AE45" s="39"/>
      <c r="AF45" s="74"/>
      <c r="AG45" s="74"/>
      <c r="AH45" s="75"/>
      <c r="AI45" s="75">
        <f t="shared" si="9"/>
        <v>0</v>
      </c>
      <c r="AJ45" s="32"/>
      <c r="AK45" s="32"/>
      <c r="AL45" s="32"/>
      <c r="AM45" s="33"/>
      <c r="AN45" s="33"/>
      <c r="AO45" s="33"/>
      <c r="AP45" s="34">
        <f t="shared" si="10"/>
        <v>0</v>
      </c>
      <c r="AQ45" s="32">
        <f t="shared" si="11"/>
        <v>0</v>
      </c>
      <c r="AR45" s="32">
        <f t="shared" si="12"/>
        <v>0</v>
      </c>
      <c r="AS45" s="32"/>
      <c r="AT45" s="32"/>
      <c r="AU45" s="32"/>
      <c r="AV45" s="32"/>
      <c r="AW45" s="32"/>
      <c r="AX45" s="32"/>
      <c r="AY45" s="32"/>
      <c r="AZ45" s="35"/>
      <c r="BB45" s="45">
        <f>IF(AND(AB45="",AC45=""),T45,IF(AC45="",AB45,AC45))</f>
        <v>3929.5</v>
      </c>
      <c r="BC45" s="45">
        <f t="shared" si="27"/>
        <v>3857.6</v>
      </c>
      <c r="BD45" s="45"/>
      <c r="BE45" s="45">
        <f t="shared" si="6"/>
        <v>71.900000000000091</v>
      </c>
      <c r="BF45" s="39">
        <f t="shared" si="7"/>
        <v>1.8297493319760806E-2</v>
      </c>
    </row>
    <row r="46" spans="1:58" s="20" customFormat="1" ht="12.75" x14ac:dyDescent="0.2">
      <c r="A46" s="21">
        <f>IF(ISBLANK(F46),"",COUNTA($F$6:F46))</f>
        <v>41</v>
      </c>
      <c r="B46" s="37" t="s">
        <v>60</v>
      </c>
      <c r="C46" s="37" t="s">
        <v>61</v>
      </c>
      <c r="D46" s="22"/>
      <c r="E46" s="23" t="s">
        <v>64</v>
      </c>
      <c r="F46" s="36">
        <v>46241</v>
      </c>
      <c r="G46" s="24" t="s">
        <v>59</v>
      </c>
      <c r="H46" s="24">
        <v>57</v>
      </c>
      <c r="I46" s="24">
        <v>1</v>
      </c>
      <c r="J46" s="24" t="s">
        <v>64</v>
      </c>
      <c r="K46" s="25">
        <v>162004379</v>
      </c>
      <c r="L46" s="26">
        <v>46242</v>
      </c>
      <c r="M46" s="38">
        <v>46243</v>
      </c>
      <c r="N46" s="52">
        <v>16534</v>
      </c>
      <c r="O46" s="27"/>
      <c r="P46" s="27"/>
      <c r="Q46" s="27"/>
      <c r="R46" s="46">
        <v>5001.3</v>
      </c>
      <c r="S46" s="46">
        <v>1182.5</v>
      </c>
      <c r="T46" s="46">
        <f t="shared" si="8"/>
        <v>3818.8</v>
      </c>
      <c r="U46" s="46">
        <v>3840.8</v>
      </c>
      <c r="V46" s="46"/>
      <c r="W46" s="46"/>
      <c r="X46" s="46">
        <v>3734.4</v>
      </c>
      <c r="Y46" s="46"/>
      <c r="Z46" s="46">
        <f>+T46-X46</f>
        <v>84.400000000000091</v>
      </c>
      <c r="AA46" s="39">
        <f>Z46/T46</f>
        <v>2.2101183617890461E-2</v>
      </c>
      <c r="AB46" s="73">
        <v>3818.8</v>
      </c>
      <c r="AC46" s="73"/>
      <c r="AD46" s="73"/>
      <c r="AE46" s="39"/>
      <c r="AF46" s="74"/>
      <c r="AG46" s="74"/>
      <c r="AH46" s="75"/>
      <c r="AI46" s="75">
        <f t="shared" si="9"/>
        <v>0</v>
      </c>
      <c r="AJ46" s="32"/>
      <c r="AK46" s="32"/>
      <c r="AL46" s="32"/>
      <c r="AM46" s="33"/>
      <c r="AN46" s="33"/>
      <c r="AO46" s="33"/>
      <c r="AP46" s="34">
        <f t="shared" si="10"/>
        <v>0</v>
      </c>
      <c r="AQ46" s="32">
        <f t="shared" si="11"/>
        <v>0</v>
      </c>
      <c r="AR46" s="32">
        <f t="shared" si="12"/>
        <v>0</v>
      </c>
      <c r="AS46" s="32"/>
      <c r="AT46" s="32"/>
      <c r="AU46" s="32"/>
      <c r="AV46" s="32"/>
      <c r="AW46" s="32"/>
      <c r="AX46" s="32"/>
      <c r="AY46" s="32"/>
      <c r="AZ46" s="35"/>
      <c r="BB46" s="45">
        <f>IF(AND(AB46="",AC46=""),T46,IF(AC46="",AB46,AC46))</f>
        <v>3818.8</v>
      </c>
      <c r="BC46" s="45">
        <f t="shared" si="27"/>
        <v>3734.4</v>
      </c>
      <c r="BD46" s="45"/>
      <c r="BE46" s="45">
        <f t="shared" si="6"/>
        <v>84.400000000000091</v>
      </c>
      <c r="BF46" s="39">
        <f t="shared" si="7"/>
        <v>2.2101183617890461E-2</v>
      </c>
    </row>
    <row r="47" spans="1:58" s="20" customFormat="1" ht="12.75" x14ac:dyDescent="0.2">
      <c r="A47" s="21">
        <f>IF(ISBLANK(F47),"",COUNTA($F$6:F47))</f>
        <v>42</v>
      </c>
      <c r="B47" s="37" t="s">
        <v>60</v>
      </c>
      <c r="C47" s="37" t="s">
        <v>61</v>
      </c>
      <c r="D47" s="22"/>
      <c r="E47" s="23" t="s">
        <v>63</v>
      </c>
      <c r="F47" s="36">
        <v>46241</v>
      </c>
      <c r="G47" s="24" t="s">
        <v>59</v>
      </c>
      <c r="H47" s="24">
        <v>58</v>
      </c>
      <c r="I47" s="24">
        <v>0</v>
      </c>
      <c r="J47" s="24" t="s">
        <v>63</v>
      </c>
      <c r="K47" s="25">
        <v>162006407</v>
      </c>
      <c r="L47" s="26">
        <v>46242</v>
      </c>
      <c r="M47" s="38">
        <v>46243</v>
      </c>
      <c r="N47" s="52">
        <v>16532</v>
      </c>
      <c r="O47" s="27"/>
      <c r="P47" s="27"/>
      <c r="Q47" s="27"/>
      <c r="R47" s="46">
        <v>5199.7</v>
      </c>
      <c r="S47" s="46">
        <v>1207.3999999999996</v>
      </c>
      <c r="T47" s="46">
        <f t="shared" si="8"/>
        <v>3992.3</v>
      </c>
      <c r="U47" s="46">
        <v>3996.8</v>
      </c>
      <c r="V47" s="46"/>
      <c r="W47" s="46"/>
      <c r="X47" s="46">
        <v>3907.2</v>
      </c>
      <c r="Y47" s="46"/>
      <c r="Z47" s="46">
        <f>+T47-X47</f>
        <v>85.100000000000364</v>
      </c>
      <c r="AA47" s="39">
        <f>Z47/T47</f>
        <v>2.1316033364226227E-2</v>
      </c>
      <c r="AB47" s="73">
        <v>3992.25</v>
      </c>
      <c r="AC47" s="73"/>
      <c r="AD47" s="73"/>
      <c r="AE47" s="39"/>
      <c r="AF47" s="74"/>
      <c r="AG47" s="74"/>
      <c r="AH47" s="75"/>
      <c r="AI47" s="75">
        <f t="shared" si="9"/>
        <v>0</v>
      </c>
      <c r="AJ47" s="32"/>
      <c r="AK47" s="32"/>
      <c r="AL47" s="32"/>
      <c r="AM47" s="33"/>
      <c r="AN47" s="33"/>
      <c r="AO47" s="33"/>
      <c r="AP47" s="34">
        <f t="shared" si="10"/>
        <v>0</v>
      </c>
      <c r="AQ47" s="32">
        <f t="shared" si="11"/>
        <v>0</v>
      </c>
      <c r="AR47" s="32">
        <f t="shared" si="12"/>
        <v>0</v>
      </c>
      <c r="AS47" s="32"/>
      <c r="AT47" s="32"/>
      <c r="AU47" s="32"/>
      <c r="AV47" s="32"/>
      <c r="AW47" s="32"/>
      <c r="AX47" s="32"/>
      <c r="AY47" s="32"/>
      <c r="AZ47" s="35"/>
      <c r="BB47" s="45">
        <f>IF(AND(AB47="",AC47=""),T47,IF(AC47="",AB47,AC47))</f>
        <v>3992.25</v>
      </c>
      <c r="BC47" s="45">
        <f t="shared" si="27"/>
        <v>3907.2</v>
      </c>
      <c r="BD47" s="45"/>
      <c r="BE47" s="45">
        <f t="shared" si="6"/>
        <v>85.050000000000182</v>
      </c>
      <c r="BF47" s="39">
        <f t="shared" si="7"/>
        <v>2.1303776066128169E-2</v>
      </c>
    </row>
    <row r="48" spans="1:58" s="20" customFormat="1" ht="12.75" x14ac:dyDescent="0.2">
      <c r="A48" s="21">
        <f>IF(ISBLANK(F48),"",COUNTA($F$6:F48))</f>
        <v>43</v>
      </c>
      <c r="B48" s="37" t="s">
        <v>60</v>
      </c>
      <c r="C48" s="37" t="s">
        <v>61</v>
      </c>
      <c r="D48" s="22"/>
      <c r="E48" s="23" t="s">
        <v>65</v>
      </c>
      <c r="F48" s="36">
        <v>46242</v>
      </c>
      <c r="G48" s="24" t="s">
        <v>59</v>
      </c>
      <c r="H48" s="24">
        <v>58</v>
      </c>
      <c r="I48" s="24">
        <v>0</v>
      </c>
      <c r="J48" s="24" t="s">
        <v>67</v>
      </c>
      <c r="K48" s="25">
        <v>162011697</v>
      </c>
      <c r="L48" s="26">
        <v>46242</v>
      </c>
      <c r="M48" s="38">
        <v>46243</v>
      </c>
      <c r="N48" s="52">
        <v>16535</v>
      </c>
      <c r="O48" s="27"/>
      <c r="P48" s="27"/>
      <c r="Q48" s="27"/>
      <c r="R48" s="46">
        <v>5156.6000000000004</v>
      </c>
      <c r="S48" s="46">
        <v>1197.3000000000002</v>
      </c>
      <c r="T48" s="46">
        <f t="shared" si="8"/>
        <v>3959.3</v>
      </c>
      <c r="U48" s="46">
        <v>4032.2</v>
      </c>
      <c r="V48" s="46"/>
      <c r="W48" s="46"/>
      <c r="X48" s="46">
        <v>3892</v>
      </c>
      <c r="Y48" s="46"/>
      <c r="Z48" s="46">
        <f>+T48-X48</f>
        <v>67.300000000000182</v>
      </c>
      <c r="AA48" s="39">
        <f>Z48/T48</f>
        <v>1.6997954183820416E-2</v>
      </c>
      <c r="AB48" s="73">
        <v>3964.47</v>
      </c>
      <c r="AC48" s="73"/>
      <c r="AD48" s="73"/>
      <c r="AE48" s="39"/>
      <c r="AF48" s="74"/>
      <c r="AG48" s="74"/>
      <c r="AH48" s="75"/>
      <c r="AI48" s="75">
        <f t="shared" si="9"/>
        <v>0</v>
      </c>
      <c r="AJ48" s="32"/>
      <c r="AK48" s="32"/>
      <c r="AL48" s="32"/>
      <c r="AM48" s="33"/>
      <c r="AN48" s="33"/>
      <c r="AO48" s="33"/>
      <c r="AP48" s="34">
        <f t="shared" si="10"/>
        <v>0</v>
      </c>
      <c r="AQ48" s="32">
        <f t="shared" si="11"/>
        <v>0</v>
      </c>
      <c r="AR48" s="32">
        <f t="shared" si="12"/>
        <v>0</v>
      </c>
      <c r="AS48" s="32"/>
      <c r="AT48" s="32"/>
      <c r="AU48" s="32"/>
      <c r="AV48" s="32"/>
      <c r="AW48" s="32"/>
      <c r="AX48" s="32"/>
      <c r="AY48" s="32"/>
      <c r="AZ48" s="35"/>
      <c r="BB48" s="45">
        <f>IF(AND(AB48="",AC48=""),T48,IF(AC48="",AB48,AC48))</f>
        <v>3964.47</v>
      </c>
      <c r="BC48" s="45">
        <f t="shared" si="27"/>
        <v>3892</v>
      </c>
      <c r="BD48" s="45"/>
      <c r="BE48" s="45">
        <f t="shared" si="6"/>
        <v>72.4699999999998</v>
      </c>
      <c r="BF48" s="39">
        <f t="shared" si="7"/>
        <v>1.8279870953746606E-2</v>
      </c>
    </row>
    <row r="49" spans="1:58" s="20" customFormat="1" ht="12.75" x14ac:dyDescent="0.2">
      <c r="A49" s="21">
        <f>IF(ISBLANK(F49),"",COUNTA($F$6:F49))</f>
        <v>44</v>
      </c>
      <c r="B49" s="37" t="s">
        <v>60</v>
      </c>
      <c r="C49" s="37" t="s">
        <v>61</v>
      </c>
      <c r="D49" s="22"/>
      <c r="E49" s="23" t="s">
        <v>64</v>
      </c>
      <c r="F49" s="36">
        <v>46242</v>
      </c>
      <c r="G49" s="24" t="s">
        <v>59</v>
      </c>
      <c r="H49" s="24">
        <v>58</v>
      </c>
      <c r="I49" s="24">
        <v>2</v>
      </c>
      <c r="J49" s="24" t="s">
        <v>64</v>
      </c>
      <c r="K49" s="25">
        <v>162004380</v>
      </c>
      <c r="L49" s="26">
        <v>46242</v>
      </c>
      <c r="M49" s="38">
        <v>46243</v>
      </c>
      <c r="N49" s="52">
        <v>16533</v>
      </c>
      <c r="O49" s="27"/>
      <c r="P49" s="27"/>
      <c r="Q49" s="27"/>
      <c r="R49" s="46">
        <v>4995.5200000000004</v>
      </c>
      <c r="S49" s="46">
        <v>1178.3200000000006</v>
      </c>
      <c r="T49" s="46">
        <f t="shared" si="8"/>
        <v>3817.2</v>
      </c>
      <c r="U49" s="46">
        <v>3841.8</v>
      </c>
      <c r="V49" s="46"/>
      <c r="W49" s="46"/>
      <c r="X49" s="46">
        <v>3817.2</v>
      </c>
      <c r="Y49" s="46"/>
      <c r="Z49" s="46">
        <f>+T49-X49</f>
        <v>0</v>
      </c>
      <c r="AA49" s="39">
        <f>Z49/T49</f>
        <v>0</v>
      </c>
      <c r="AB49" s="73">
        <v>3817.2</v>
      </c>
      <c r="AC49" s="73"/>
      <c r="AD49" s="73"/>
      <c r="AE49" s="39"/>
      <c r="AF49" s="74"/>
      <c r="AG49" s="74"/>
      <c r="AH49" s="75"/>
      <c r="AI49" s="75">
        <f t="shared" si="9"/>
        <v>0</v>
      </c>
      <c r="AJ49" s="32"/>
      <c r="AK49" s="32"/>
      <c r="AL49" s="32"/>
      <c r="AM49" s="33"/>
      <c r="AN49" s="33"/>
      <c r="AO49" s="33"/>
      <c r="AP49" s="34">
        <f t="shared" si="10"/>
        <v>0</v>
      </c>
      <c r="AQ49" s="32">
        <f t="shared" si="11"/>
        <v>0</v>
      </c>
      <c r="AR49" s="32">
        <f t="shared" si="12"/>
        <v>0</v>
      </c>
      <c r="AS49" s="32"/>
      <c r="AT49" s="32"/>
      <c r="AU49" s="32"/>
      <c r="AV49" s="32"/>
      <c r="AW49" s="32"/>
      <c r="AX49" s="32"/>
      <c r="AY49" s="32"/>
      <c r="AZ49" s="35"/>
      <c r="BB49" s="45">
        <f>IF(AND(AB49="",AC49=""),T49,IF(AC49="",AB49,AC49))</f>
        <v>3817.2</v>
      </c>
      <c r="BC49" s="45">
        <f t="shared" si="27"/>
        <v>3817.2</v>
      </c>
      <c r="BD49" s="45"/>
      <c r="BE49" s="45">
        <f t="shared" si="6"/>
        <v>0</v>
      </c>
      <c r="BF49" s="39">
        <f t="shared" si="7"/>
        <v>0</v>
      </c>
    </row>
    <row r="50" spans="1:58" s="20" customFormat="1" ht="12.75" x14ac:dyDescent="0.2">
      <c r="A50" s="21">
        <f>IF(ISBLANK(F50),"",COUNTA($F$6:F50))</f>
        <v>45</v>
      </c>
      <c r="B50" s="37" t="s">
        <v>60</v>
      </c>
      <c r="C50" s="37" t="s">
        <v>61</v>
      </c>
      <c r="D50" s="22"/>
      <c r="E50" s="23" t="s">
        <v>64</v>
      </c>
      <c r="F50" s="36">
        <v>46242</v>
      </c>
      <c r="G50" s="24" t="s">
        <v>59</v>
      </c>
      <c r="H50" s="24">
        <v>59</v>
      </c>
      <c r="I50" s="24">
        <v>1</v>
      </c>
      <c r="J50" s="24" t="s">
        <v>64</v>
      </c>
      <c r="K50" s="25">
        <v>162004382</v>
      </c>
      <c r="L50" s="26">
        <v>46242</v>
      </c>
      <c r="M50" s="38">
        <v>46243</v>
      </c>
      <c r="N50" s="52">
        <v>16537</v>
      </c>
      <c r="O50" s="27"/>
      <c r="P50" s="27"/>
      <c r="Q50" s="27"/>
      <c r="R50" s="46">
        <v>5177.96</v>
      </c>
      <c r="S50" s="46">
        <v>1224.56</v>
      </c>
      <c r="T50" s="46">
        <f t="shared" si="8"/>
        <v>3953.4</v>
      </c>
      <c r="U50" s="46">
        <v>3978.2</v>
      </c>
      <c r="V50" s="46"/>
      <c r="W50" s="46"/>
      <c r="X50" s="46">
        <v>3823.6</v>
      </c>
      <c r="Y50" s="46"/>
      <c r="Z50" s="46">
        <f>+T50-X50</f>
        <v>129.80000000000018</v>
      </c>
      <c r="AA50" s="39">
        <f>Z50/T50</f>
        <v>3.2832498608792476E-2</v>
      </c>
      <c r="AB50" s="73">
        <v>3953.4</v>
      </c>
      <c r="AC50" s="73"/>
      <c r="AD50" s="73"/>
      <c r="AE50" s="39"/>
      <c r="AF50" s="74"/>
      <c r="AG50" s="74"/>
      <c r="AH50" s="75"/>
      <c r="AI50" s="75">
        <f t="shared" si="9"/>
        <v>0</v>
      </c>
      <c r="AJ50" s="32"/>
      <c r="AK50" s="32"/>
      <c r="AL50" s="32"/>
      <c r="AM50" s="33"/>
      <c r="AN50" s="33"/>
      <c r="AO50" s="33"/>
      <c r="AP50" s="34">
        <f t="shared" si="10"/>
        <v>0</v>
      </c>
      <c r="AQ50" s="32">
        <f t="shared" si="11"/>
        <v>0</v>
      </c>
      <c r="AR50" s="32">
        <f t="shared" si="12"/>
        <v>0</v>
      </c>
      <c r="AS50" s="32"/>
      <c r="AT50" s="32"/>
      <c r="AU50" s="32"/>
      <c r="AV50" s="32"/>
      <c r="AW50" s="32"/>
      <c r="AX50" s="32"/>
      <c r="AY50" s="32"/>
      <c r="AZ50" s="35"/>
      <c r="BB50" s="45">
        <f>IF(AND(AB50="",AC50=""),T50,IF(AC50="",AB50,AC50))</f>
        <v>3953.4</v>
      </c>
      <c r="BC50" s="45">
        <f t="shared" si="27"/>
        <v>3823.6</v>
      </c>
      <c r="BD50" s="45"/>
      <c r="BE50" s="45">
        <f t="shared" si="6"/>
        <v>129.80000000000018</v>
      </c>
      <c r="BF50" s="39">
        <f t="shared" si="7"/>
        <v>3.2832498608792476E-2</v>
      </c>
    </row>
    <row r="51" spans="1:58" s="20" customFormat="1" ht="12.75" x14ac:dyDescent="0.2">
      <c r="A51" s="21">
        <f>IF(ISBLANK(F51),"",COUNTA($F$6:F51))</f>
        <v>46</v>
      </c>
      <c r="B51" s="37" t="s">
        <v>60</v>
      </c>
      <c r="C51" s="37" t="s">
        <v>61</v>
      </c>
      <c r="D51" s="22"/>
      <c r="E51" s="23" t="s">
        <v>63</v>
      </c>
      <c r="F51" s="36">
        <v>46242</v>
      </c>
      <c r="G51" s="24" t="s">
        <v>59</v>
      </c>
      <c r="H51" s="24">
        <v>57</v>
      </c>
      <c r="I51" s="24">
        <v>0</v>
      </c>
      <c r="J51" s="24" t="s">
        <v>63</v>
      </c>
      <c r="K51" s="25">
        <v>162006410</v>
      </c>
      <c r="L51" s="26">
        <v>46242</v>
      </c>
      <c r="M51" s="38">
        <v>46244</v>
      </c>
      <c r="N51" s="52">
        <v>16540</v>
      </c>
      <c r="O51" s="27"/>
      <c r="P51" s="27"/>
      <c r="Q51" s="27"/>
      <c r="R51" s="46">
        <v>5106.9799999999996</v>
      </c>
      <c r="S51" s="46">
        <v>1197.7799999999997</v>
      </c>
      <c r="T51" s="46">
        <f t="shared" si="8"/>
        <v>3909.2</v>
      </c>
      <c r="U51" s="46">
        <v>3917.6</v>
      </c>
      <c r="V51" s="46"/>
      <c r="W51" s="46"/>
      <c r="X51" s="46">
        <v>3909.2</v>
      </c>
      <c r="Y51" s="46"/>
      <c r="Z51" s="46">
        <f>+T51-X51</f>
        <v>0</v>
      </c>
      <c r="AA51" s="39">
        <f>Z51/T51</f>
        <v>0</v>
      </c>
      <c r="AB51" s="73">
        <v>3909.2</v>
      </c>
      <c r="AC51" s="73"/>
      <c r="AD51" s="73"/>
      <c r="AE51" s="39"/>
      <c r="AF51" s="74"/>
      <c r="AG51" s="74"/>
      <c r="AH51" s="75"/>
      <c r="AI51" s="75">
        <f t="shared" si="9"/>
        <v>0</v>
      </c>
      <c r="AJ51" s="32"/>
      <c r="AK51" s="32"/>
      <c r="AL51" s="32"/>
      <c r="AM51" s="33"/>
      <c r="AN51" s="33"/>
      <c r="AO51" s="33"/>
      <c r="AP51" s="34">
        <f t="shared" si="10"/>
        <v>0</v>
      </c>
      <c r="AQ51" s="32">
        <f t="shared" si="11"/>
        <v>0</v>
      </c>
      <c r="AR51" s="32">
        <f t="shared" si="12"/>
        <v>0</v>
      </c>
      <c r="AS51" s="32"/>
      <c r="AT51" s="32"/>
      <c r="AU51" s="32"/>
      <c r="AV51" s="32"/>
      <c r="AW51" s="32"/>
      <c r="AX51" s="32"/>
      <c r="AY51" s="32"/>
      <c r="AZ51" s="35"/>
      <c r="BB51" s="45">
        <f>IF(AND(AB51="",AC51=""),T51,IF(AC51="",AB51,AC51))</f>
        <v>3909.2</v>
      </c>
      <c r="BC51" s="45">
        <f t="shared" si="27"/>
        <v>3909.2</v>
      </c>
      <c r="BD51" s="45"/>
      <c r="BE51" s="45">
        <f t="shared" si="6"/>
        <v>0</v>
      </c>
      <c r="BF51" s="39">
        <f t="shared" si="7"/>
        <v>0</v>
      </c>
    </row>
    <row r="52" spans="1:58" s="20" customFormat="1" ht="12.75" x14ac:dyDescent="0.2">
      <c r="A52" s="21">
        <f>IF(ISBLANK(F52),"",COUNTA($F$6:F52))</f>
        <v>47</v>
      </c>
      <c r="B52" s="37" t="s">
        <v>60</v>
      </c>
      <c r="C52" s="37" t="s">
        <v>61</v>
      </c>
      <c r="D52" s="22"/>
      <c r="E52" s="23" t="s">
        <v>64</v>
      </c>
      <c r="F52" s="36">
        <v>46243</v>
      </c>
      <c r="G52" s="24" t="s">
        <v>59</v>
      </c>
      <c r="H52" s="24">
        <v>58</v>
      </c>
      <c r="I52" s="24">
        <v>1</v>
      </c>
      <c r="J52" s="24" t="s">
        <v>64</v>
      </c>
      <c r="K52" s="25">
        <v>162004383</v>
      </c>
      <c r="L52" s="26">
        <v>46243</v>
      </c>
      <c r="M52" s="38">
        <v>46244</v>
      </c>
      <c r="N52" s="52">
        <v>16539</v>
      </c>
      <c r="O52" s="27"/>
      <c r="P52" s="27"/>
      <c r="Q52" s="27"/>
      <c r="R52" s="46">
        <v>5100.57</v>
      </c>
      <c r="S52" s="46">
        <v>1188.1699999999996</v>
      </c>
      <c r="T52" s="46">
        <f t="shared" si="8"/>
        <v>3912.4</v>
      </c>
      <c r="U52" s="46">
        <v>3923.4</v>
      </c>
      <c r="V52" s="46"/>
      <c r="W52" s="46"/>
      <c r="X52" s="46">
        <v>3769.4</v>
      </c>
      <c r="Y52" s="46"/>
      <c r="Z52" s="46">
        <f>+T52-X52</f>
        <v>143</v>
      </c>
      <c r="AA52" s="39">
        <f>Z52/T52</f>
        <v>3.655045496370514E-2</v>
      </c>
      <c r="AB52" s="73">
        <v>3912.35</v>
      </c>
      <c r="AC52" s="73"/>
      <c r="AD52" s="73"/>
      <c r="AE52" s="39"/>
      <c r="AF52" s="74"/>
      <c r="AG52" s="74"/>
      <c r="AH52" s="75"/>
      <c r="AI52" s="75">
        <f t="shared" si="9"/>
        <v>0</v>
      </c>
      <c r="AJ52" s="32"/>
      <c r="AK52" s="32"/>
      <c r="AL52" s="32"/>
      <c r="AM52" s="33"/>
      <c r="AN52" s="33"/>
      <c r="AO52" s="33"/>
      <c r="AP52" s="34">
        <f t="shared" si="10"/>
        <v>0</v>
      </c>
      <c r="AQ52" s="32">
        <f t="shared" si="11"/>
        <v>0</v>
      </c>
      <c r="AR52" s="32">
        <f t="shared" si="12"/>
        <v>0</v>
      </c>
      <c r="AS52" s="32"/>
      <c r="AT52" s="32"/>
      <c r="AU52" s="32"/>
      <c r="AV52" s="32"/>
      <c r="AW52" s="32"/>
      <c r="AX52" s="32"/>
      <c r="AY52" s="32"/>
      <c r="AZ52" s="35"/>
      <c r="BB52" s="45">
        <f>IF(AND(AB52="",AC52=""),T52,IF(AC52="",AB52,AC52))</f>
        <v>3912.35</v>
      </c>
      <c r="BC52" s="45">
        <f t="shared" si="27"/>
        <v>3769.4</v>
      </c>
      <c r="BD52" s="45"/>
      <c r="BE52" s="45">
        <f t="shared" si="6"/>
        <v>142.94999999999982</v>
      </c>
      <c r="BF52" s="39">
        <f t="shared" si="7"/>
        <v>3.6538142037394361E-2</v>
      </c>
    </row>
    <row r="53" spans="1:58" s="20" customFormat="1" ht="12.75" x14ac:dyDescent="0.2">
      <c r="A53" s="21">
        <f>IF(ISBLANK(F53),"",COUNTA($F$6:F53))</f>
        <v>48</v>
      </c>
      <c r="B53" s="37" t="s">
        <v>60</v>
      </c>
      <c r="C53" s="37" t="s">
        <v>61</v>
      </c>
      <c r="D53" s="22"/>
      <c r="E53" s="23" t="s">
        <v>65</v>
      </c>
      <c r="F53" s="36">
        <v>46243</v>
      </c>
      <c r="G53" s="24" t="s">
        <v>59</v>
      </c>
      <c r="H53" s="24">
        <v>58</v>
      </c>
      <c r="I53" s="24">
        <v>6</v>
      </c>
      <c r="J53" s="24" t="s">
        <v>67</v>
      </c>
      <c r="K53" s="25">
        <v>162011699</v>
      </c>
      <c r="L53" s="26">
        <v>46243</v>
      </c>
      <c r="M53" s="38">
        <v>46244</v>
      </c>
      <c r="N53" s="52">
        <v>16541</v>
      </c>
      <c r="O53" s="27"/>
      <c r="P53" s="27"/>
      <c r="Q53" s="27"/>
      <c r="R53" s="46">
        <v>4576.6000000000004</v>
      </c>
      <c r="S53" s="46">
        <v>1080.5000000000005</v>
      </c>
      <c r="T53" s="46">
        <f t="shared" si="8"/>
        <v>3496.1</v>
      </c>
      <c r="U53" s="46">
        <v>3595</v>
      </c>
      <c r="V53" s="46"/>
      <c r="W53" s="46"/>
      <c r="X53" s="46">
        <v>3496.1</v>
      </c>
      <c r="Y53" s="46"/>
      <c r="Z53" s="46">
        <f>+T53-X53</f>
        <v>0</v>
      </c>
      <c r="AA53" s="39">
        <f>Z53/T53</f>
        <v>0</v>
      </c>
      <c r="AB53" s="73">
        <v>3516.31</v>
      </c>
      <c r="AC53" s="73"/>
      <c r="AD53" s="73"/>
      <c r="AE53" s="39"/>
      <c r="AF53" s="74"/>
      <c r="AG53" s="74"/>
      <c r="AH53" s="75"/>
      <c r="AI53" s="75">
        <f t="shared" si="9"/>
        <v>0</v>
      </c>
      <c r="AJ53" s="32"/>
      <c r="AK53" s="32"/>
      <c r="AL53" s="32"/>
      <c r="AM53" s="33"/>
      <c r="AN53" s="33"/>
      <c r="AO53" s="33"/>
      <c r="AP53" s="34">
        <f t="shared" si="10"/>
        <v>0</v>
      </c>
      <c r="AQ53" s="32">
        <f t="shared" si="11"/>
        <v>0</v>
      </c>
      <c r="AR53" s="32">
        <f t="shared" si="12"/>
        <v>0</v>
      </c>
      <c r="AS53" s="32"/>
      <c r="AT53" s="32"/>
      <c r="AU53" s="32"/>
      <c r="AV53" s="32"/>
      <c r="AW53" s="32"/>
      <c r="AX53" s="32"/>
      <c r="AY53" s="32"/>
      <c r="AZ53" s="35"/>
      <c r="BB53" s="45">
        <f>IF(AND(AB53="",AC53=""),T53,IF(AC53="",AB53,AC53))</f>
        <v>3516.31</v>
      </c>
      <c r="BC53" s="45">
        <f t="shared" si="27"/>
        <v>3496.1</v>
      </c>
      <c r="BD53" s="45"/>
      <c r="BE53" s="45">
        <f t="shared" si="6"/>
        <v>20.210000000000036</v>
      </c>
      <c r="BF53" s="39">
        <f t="shared" si="7"/>
        <v>5.7475023533192574E-3</v>
      </c>
    </row>
    <row r="54" spans="1:58" s="20" customFormat="1" ht="12.75" x14ac:dyDescent="0.2">
      <c r="A54" s="21">
        <f>IF(ISBLANK(F54),"",COUNTA($F$6:F54))</f>
        <v>49</v>
      </c>
      <c r="B54" s="37" t="s">
        <v>60</v>
      </c>
      <c r="C54" s="37" t="s">
        <v>61</v>
      </c>
      <c r="D54" s="22"/>
      <c r="E54" s="23" t="s">
        <v>63</v>
      </c>
      <c r="F54" s="36">
        <v>46243</v>
      </c>
      <c r="G54" s="24" t="s">
        <v>59</v>
      </c>
      <c r="H54" s="24">
        <v>58</v>
      </c>
      <c r="I54" s="24">
        <v>3</v>
      </c>
      <c r="J54" s="24" t="s">
        <v>63</v>
      </c>
      <c r="K54" s="25">
        <v>162006415</v>
      </c>
      <c r="L54" s="26">
        <v>46243</v>
      </c>
      <c r="M54" s="38">
        <v>46245</v>
      </c>
      <c r="N54" s="52">
        <v>16545</v>
      </c>
      <c r="O54" s="27"/>
      <c r="P54" s="27"/>
      <c r="Q54" s="27"/>
      <c r="R54" s="46">
        <v>4932.72</v>
      </c>
      <c r="S54" s="46">
        <v>1155.42</v>
      </c>
      <c r="T54" s="46">
        <f t="shared" si="8"/>
        <v>3777.3</v>
      </c>
      <c r="U54" s="46">
        <v>3777.3</v>
      </c>
      <c r="V54" s="46"/>
      <c r="W54" s="46"/>
      <c r="X54" s="46">
        <v>3840.6</v>
      </c>
      <c r="Y54" s="46"/>
      <c r="Z54" s="46">
        <f>+T54-X54</f>
        <v>-63.299999999999727</v>
      </c>
      <c r="AA54" s="39">
        <f>Z54/T54</f>
        <v>-1.6758001747279729E-2</v>
      </c>
      <c r="AB54" s="73">
        <v>3777.25</v>
      </c>
      <c r="AC54" s="73"/>
      <c r="AD54" s="73"/>
      <c r="AE54" s="39"/>
      <c r="AF54" s="74"/>
      <c r="AG54" s="74"/>
      <c r="AH54" s="75"/>
      <c r="AI54" s="75">
        <f t="shared" si="9"/>
        <v>0</v>
      </c>
      <c r="AJ54" s="32"/>
      <c r="AK54" s="32"/>
      <c r="AL54" s="32"/>
      <c r="AM54" s="33"/>
      <c r="AN54" s="33"/>
      <c r="AO54" s="33"/>
      <c r="AP54" s="34">
        <f t="shared" si="10"/>
        <v>0</v>
      </c>
      <c r="AQ54" s="32">
        <f t="shared" si="11"/>
        <v>0</v>
      </c>
      <c r="AR54" s="32">
        <f t="shared" si="12"/>
        <v>0</v>
      </c>
      <c r="AS54" s="32"/>
      <c r="AT54" s="32"/>
      <c r="AU54" s="32"/>
      <c r="AV54" s="32"/>
      <c r="AW54" s="32"/>
      <c r="AX54" s="32"/>
      <c r="AY54" s="32"/>
      <c r="AZ54" s="35"/>
      <c r="BB54" s="45">
        <f>IF(AND(AB54="",AC54=""),T54,IF(AC54="",AB54,AC54))</f>
        <v>3777.25</v>
      </c>
      <c r="BC54" s="45">
        <f t="shared" si="27"/>
        <v>3840.6</v>
      </c>
      <c r="BD54" s="45"/>
      <c r="BE54" s="45">
        <f t="shared" si="6"/>
        <v>-63.349999999999909</v>
      </c>
      <c r="BF54" s="39">
        <f t="shared" si="7"/>
        <v>-1.6771460718776863E-2</v>
      </c>
    </row>
    <row r="55" spans="1:58" s="20" customFormat="1" ht="12.75" x14ac:dyDescent="0.2">
      <c r="A55" s="21">
        <f>IF(ISBLANK(F55),"",COUNTA($F$6:F55))</f>
        <v>50</v>
      </c>
      <c r="B55" s="37" t="s">
        <v>60</v>
      </c>
      <c r="C55" s="37" t="s">
        <v>61</v>
      </c>
      <c r="D55" s="22"/>
      <c r="E55" s="23" t="s">
        <v>64</v>
      </c>
      <c r="F55" s="36">
        <v>46243</v>
      </c>
      <c r="G55" s="24" t="s">
        <v>59</v>
      </c>
      <c r="H55" s="24">
        <v>58</v>
      </c>
      <c r="I55" s="24">
        <v>1</v>
      </c>
      <c r="J55" s="24" t="s">
        <v>64</v>
      </c>
      <c r="K55" s="25">
        <v>162004385</v>
      </c>
      <c r="L55" s="26">
        <v>46243</v>
      </c>
      <c r="M55" s="38">
        <v>46245</v>
      </c>
      <c r="N55" s="52">
        <v>16543</v>
      </c>
      <c r="O55" s="27"/>
      <c r="P55" s="27"/>
      <c r="Q55" s="27"/>
      <c r="R55" s="46">
        <v>5077.75</v>
      </c>
      <c r="S55" s="46">
        <v>1207.3499999999999</v>
      </c>
      <c r="T55" s="46">
        <f t="shared" ref="T55:T60" si="28">+R55-S55</f>
        <v>3870.4</v>
      </c>
      <c r="U55" s="46">
        <v>3870.4</v>
      </c>
      <c r="V55" s="46"/>
      <c r="W55" s="46"/>
      <c r="X55" s="46">
        <v>3777.2</v>
      </c>
      <c r="Y55" s="46"/>
      <c r="Z55" s="46">
        <f>+T55-X55</f>
        <v>93.200000000000273</v>
      </c>
      <c r="AA55" s="39">
        <f>Z55/T55</f>
        <v>2.4080198429103004E-2</v>
      </c>
      <c r="AB55" s="73">
        <v>3870.4</v>
      </c>
      <c r="AC55" s="73"/>
      <c r="AD55" s="73"/>
      <c r="AE55" s="39"/>
      <c r="AF55" s="74"/>
      <c r="AG55" s="74"/>
      <c r="AH55" s="75"/>
      <c r="AI55" s="75">
        <f t="shared" ref="AI55:AI60" si="29">+AG55+AH55</f>
        <v>0</v>
      </c>
      <c r="AJ55" s="32"/>
      <c r="AK55" s="32"/>
      <c r="AL55" s="32"/>
      <c r="AM55" s="33"/>
      <c r="AN55" s="33"/>
      <c r="AO55" s="33"/>
      <c r="AP55" s="34">
        <f t="shared" ref="AP55:AP60" si="30">ROUNDUP((AO55-AM55+(AO55&lt;AM55))*24,0)</f>
        <v>0</v>
      </c>
      <c r="AQ55" s="32">
        <f t="shared" ref="AQ55:AQ60" si="31">IF(AP55&gt;5,(AP55-5),0)</f>
        <v>0</v>
      </c>
      <c r="AR55" s="32">
        <f t="shared" ref="AR55:AR60" si="32">+AQ55*8850</f>
        <v>0</v>
      </c>
      <c r="AS55" s="32"/>
      <c r="AT55" s="32"/>
      <c r="AU55" s="32"/>
      <c r="AV55" s="32"/>
      <c r="AW55" s="32"/>
      <c r="AX55" s="32"/>
      <c r="AY55" s="32"/>
      <c r="AZ55" s="35"/>
      <c r="BB55" s="45">
        <f>IF(AND(AB55="",AC55=""),T55,IF(AC55="",AB55,AC55))</f>
        <v>3870.4</v>
      </c>
      <c r="BC55" s="45">
        <f t="shared" si="27"/>
        <v>3777.2</v>
      </c>
      <c r="BD55" s="45"/>
      <c r="BE55" s="45">
        <f t="shared" ref="BE55:BE60" si="33">+BB55-BC55</f>
        <v>93.200000000000273</v>
      </c>
      <c r="BF55" s="39">
        <f t="shared" ref="BF55:BF60" si="34">+BE55/BB55</f>
        <v>2.4080198429103004E-2</v>
      </c>
    </row>
    <row r="56" spans="1:58" s="20" customFormat="1" ht="12.75" x14ac:dyDescent="0.2">
      <c r="A56" s="21">
        <f>IF(ISBLANK(F56),"",COUNTA($F$6:F56))</f>
        <v>51</v>
      </c>
      <c r="B56" s="37" t="s">
        <v>60</v>
      </c>
      <c r="C56" s="37" t="s">
        <v>61</v>
      </c>
      <c r="D56" s="22"/>
      <c r="E56" s="23" t="s">
        <v>63</v>
      </c>
      <c r="F56" s="36">
        <v>46243</v>
      </c>
      <c r="G56" s="24" t="s">
        <v>69</v>
      </c>
      <c r="H56" s="24">
        <v>58</v>
      </c>
      <c r="I56" s="24">
        <v>0</v>
      </c>
      <c r="J56" s="24" t="s">
        <v>63</v>
      </c>
      <c r="K56" s="25">
        <v>162006417</v>
      </c>
      <c r="L56" s="26">
        <v>46244</v>
      </c>
      <c r="M56" s="38">
        <v>46246</v>
      </c>
      <c r="N56" s="52">
        <v>16550</v>
      </c>
      <c r="O56" s="27"/>
      <c r="P56" s="27"/>
      <c r="Q56" s="27"/>
      <c r="R56" s="46">
        <v>5173</v>
      </c>
      <c r="S56" s="46">
        <v>1151.3000000000002</v>
      </c>
      <c r="T56" s="46">
        <f t="shared" si="28"/>
        <v>4021.7</v>
      </c>
      <c r="U56" s="46">
        <v>4021.7</v>
      </c>
      <c r="V56" s="46"/>
      <c r="W56" s="46"/>
      <c r="X56" s="46">
        <v>4039.3</v>
      </c>
      <c r="Y56" s="46"/>
      <c r="Z56" s="46">
        <f>+T56-X56</f>
        <v>-17.600000000000364</v>
      </c>
      <c r="AA56" s="39">
        <f>Z56/T56</f>
        <v>-4.37625879603162E-3</v>
      </c>
      <c r="AB56" s="73">
        <v>4021.7</v>
      </c>
      <c r="AC56" s="73"/>
      <c r="AD56" s="73"/>
      <c r="AE56" s="39"/>
      <c r="AF56" s="74"/>
      <c r="AG56" s="74"/>
      <c r="AH56" s="75"/>
      <c r="AI56" s="75">
        <f t="shared" si="29"/>
        <v>0</v>
      </c>
      <c r="AJ56" s="32"/>
      <c r="AK56" s="32"/>
      <c r="AL56" s="32"/>
      <c r="AM56" s="33"/>
      <c r="AN56" s="33"/>
      <c r="AO56" s="33"/>
      <c r="AP56" s="34">
        <f t="shared" si="30"/>
        <v>0</v>
      </c>
      <c r="AQ56" s="32">
        <f t="shared" si="31"/>
        <v>0</v>
      </c>
      <c r="AR56" s="32">
        <f t="shared" si="32"/>
        <v>0</v>
      </c>
      <c r="AS56" s="32"/>
      <c r="AT56" s="32"/>
      <c r="AU56" s="32"/>
      <c r="AV56" s="32"/>
      <c r="AW56" s="32"/>
      <c r="AX56" s="32"/>
      <c r="AY56" s="32"/>
      <c r="AZ56" s="35"/>
      <c r="BB56" s="45">
        <f>IF(AND(AB56="",AC56=""),T56,IF(AC56="",AB56,AC56))</f>
        <v>4021.7</v>
      </c>
      <c r="BC56" s="45">
        <f t="shared" si="27"/>
        <v>4039.3</v>
      </c>
      <c r="BD56" s="45"/>
      <c r="BE56" s="45">
        <f t="shared" si="33"/>
        <v>-17.600000000000364</v>
      </c>
      <c r="BF56" s="39">
        <f t="shared" si="34"/>
        <v>-4.37625879603162E-3</v>
      </c>
    </row>
    <row r="57" spans="1:58" s="20" customFormat="1" ht="12.75" x14ac:dyDescent="0.2">
      <c r="A57" s="21">
        <f>IF(ISBLANK(F57),"",COUNTA($F$6:F57))</f>
        <v>52</v>
      </c>
      <c r="B57" s="37" t="s">
        <v>60</v>
      </c>
      <c r="C57" s="37" t="s">
        <v>61</v>
      </c>
      <c r="D57" s="22"/>
      <c r="E57" s="23" t="s">
        <v>64</v>
      </c>
      <c r="F57" s="36">
        <v>46244</v>
      </c>
      <c r="G57" s="24" t="s">
        <v>59</v>
      </c>
      <c r="H57" s="24">
        <v>57</v>
      </c>
      <c r="I57" s="24">
        <v>0</v>
      </c>
      <c r="J57" s="24" t="s">
        <v>64</v>
      </c>
      <c r="K57" s="25">
        <v>162004386</v>
      </c>
      <c r="L57" s="26">
        <v>46244</v>
      </c>
      <c r="M57" s="38">
        <v>46245</v>
      </c>
      <c r="N57" s="52">
        <v>16547</v>
      </c>
      <c r="O57" s="27"/>
      <c r="P57" s="27"/>
      <c r="Q57" s="27"/>
      <c r="R57" s="46">
        <v>5095.16</v>
      </c>
      <c r="S57" s="46">
        <v>1192.46</v>
      </c>
      <c r="T57" s="46">
        <f t="shared" si="28"/>
        <v>3902.7</v>
      </c>
      <c r="U57" s="46">
        <v>3902.7</v>
      </c>
      <c r="V57" s="46"/>
      <c r="W57" s="46"/>
      <c r="X57" s="46">
        <v>3836.2</v>
      </c>
      <c r="Y57" s="46"/>
      <c r="Z57" s="46">
        <f>+T57-X57</f>
        <v>66.5</v>
      </c>
      <c r="AA57" s="39">
        <f>Z57/T57</f>
        <v>1.7039485484408232E-2</v>
      </c>
      <c r="AB57" s="73">
        <v>3902.65</v>
      </c>
      <c r="AC57" s="73"/>
      <c r="AD57" s="73"/>
      <c r="AE57" s="39"/>
      <c r="AF57" s="74"/>
      <c r="AG57" s="74"/>
      <c r="AH57" s="75"/>
      <c r="AI57" s="75">
        <f t="shared" si="29"/>
        <v>0</v>
      </c>
      <c r="AJ57" s="32"/>
      <c r="AK57" s="32"/>
      <c r="AL57" s="32"/>
      <c r="AM57" s="33"/>
      <c r="AN57" s="33"/>
      <c r="AO57" s="33"/>
      <c r="AP57" s="34">
        <f t="shared" si="30"/>
        <v>0</v>
      </c>
      <c r="AQ57" s="32">
        <f t="shared" si="31"/>
        <v>0</v>
      </c>
      <c r="AR57" s="32">
        <f t="shared" si="32"/>
        <v>0</v>
      </c>
      <c r="AS57" s="32"/>
      <c r="AT57" s="32"/>
      <c r="AU57" s="32"/>
      <c r="AV57" s="32"/>
      <c r="AW57" s="32"/>
      <c r="AX57" s="32"/>
      <c r="AY57" s="32"/>
      <c r="AZ57" s="35"/>
      <c r="BB57" s="45">
        <f>IF(AND(AB57="",AC57=""),T57,IF(AC57="",AB57,AC57))</f>
        <v>3902.65</v>
      </c>
      <c r="BC57" s="45">
        <f t="shared" si="27"/>
        <v>3836.2</v>
      </c>
      <c r="BD57" s="45"/>
      <c r="BE57" s="45">
        <f t="shared" si="33"/>
        <v>66.450000000000273</v>
      </c>
      <c r="BF57" s="39">
        <f t="shared" si="34"/>
        <v>1.7026891983652204E-2</v>
      </c>
    </row>
    <row r="58" spans="1:58" s="20" customFormat="1" ht="12.75" x14ac:dyDescent="0.2">
      <c r="A58" s="21">
        <f>IF(ISBLANK(F58),"",COUNTA($F$6:F58))</f>
        <v>53</v>
      </c>
      <c r="B58" s="37" t="s">
        <v>60</v>
      </c>
      <c r="C58" s="37" t="s">
        <v>61</v>
      </c>
      <c r="D58" s="22"/>
      <c r="E58" s="23" t="s">
        <v>65</v>
      </c>
      <c r="F58" s="36">
        <v>46244</v>
      </c>
      <c r="G58" s="24" t="s">
        <v>59</v>
      </c>
      <c r="H58" s="24">
        <v>59</v>
      </c>
      <c r="I58" s="24">
        <v>0</v>
      </c>
      <c r="J58" s="24" t="s">
        <v>67</v>
      </c>
      <c r="K58" s="25">
        <v>162011702</v>
      </c>
      <c r="L58" s="26">
        <v>46244</v>
      </c>
      <c r="M58" s="38">
        <v>46246</v>
      </c>
      <c r="N58" s="52">
        <v>16548</v>
      </c>
      <c r="O58" s="27"/>
      <c r="P58" s="27"/>
      <c r="Q58" s="27"/>
      <c r="R58" s="46">
        <v>5250.8</v>
      </c>
      <c r="S58" s="46">
        <v>1242.2000000000003</v>
      </c>
      <c r="T58" s="46">
        <f t="shared" si="28"/>
        <v>4008.6</v>
      </c>
      <c r="U58" s="46">
        <v>4008.6</v>
      </c>
      <c r="V58" s="46"/>
      <c r="W58" s="46"/>
      <c r="X58" s="46">
        <v>3991.6</v>
      </c>
      <c r="Y58" s="46"/>
      <c r="Z58" s="46">
        <f>+T58-X58</f>
        <v>17</v>
      </c>
      <c r="AA58" s="39">
        <f>Z58/T58</f>
        <v>4.2408821034775231E-3</v>
      </c>
      <c r="AB58" s="73">
        <v>4010.54</v>
      </c>
      <c r="AC58" s="73"/>
      <c r="AD58" s="73"/>
      <c r="AE58" s="39"/>
      <c r="AF58" s="74"/>
      <c r="AG58" s="74"/>
      <c r="AH58" s="75"/>
      <c r="AI58" s="75">
        <f t="shared" si="29"/>
        <v>0</v>
      </c>
      <c r="AJ58" s="32"/>
      <c r="AK58" s="32"/>
      <c r="AL58" s="32"/>
      <c r="AM58" s="33"/>
      <c r="AN58" s="33"/>
      <c r="AO58" s="33"/>
      <c r="AP58" s="34">
        <f t="shared" si="30"/>
        <v>0</v>
      </c>
      <c r="AQ58" s="32">
        <f t="shared" si="31"/>
        <v>0</v>
      </c>
      <c r="AR58" s="32">
        <f t="shared" si="32"/>
        <v>0</v>
      </c>
      <c r="AS58" s="32"/>
      <c r="AT58" s="32"/>
      <c r="AU58" s="32"/>
      <c r="AV58" s="32"/>
      <c r="AW58" s="32"/>
      <c r="AX58" s="32"/>
      <c r="AY58" s="32"/>
      <c r="AZ58" s="35"/>
      <c r="BB58" s="45">
        <f>IF(AND(AB58="",AC58=""),T58,IF(AC58="",AB58,AC58))</f>
        <v>4010.54</v>
      </c>
      <c r="BC58" s="45">
        <f t="shared" si="27"/>
        <v>3991.6</v>
      </c>
      <c r="BD58" s="45"/>
      <c r="BE58" s="45">
        <f t="shared" si="33"/>
        <v>18.940000000000055</v>
      </c>
      <c r="BF58" s="39">
        <f t="shared" si="34"/>
        <v>4.7225560647693463E-3</v>
      </c>
    </row>
    <row r="59" spans="1:58" s="20" customFormat="1" ht="12.75" x14ac:dyDescent="0.2">
      <c r="A59" s="21">
        <f>IF(ISBLANK(F59),"",COUNTA($F$6:F59))</f>
        <v>54</v>
      </c>
      <c r="B59" s="37" t="s">
        <v>60</v>
      </c>
      <c r="C59" s="37" t="s">
        <v>61</v>
      </c>
      <c r="D59" s="22"/>
      <c r="E59" s="23" t="s">
        <v>63</v>
      </c>
      <c r="F59" s="36">
        <v>46244</v>
      </c>
      <c r="G59" s="24" t="s">
        <v>69</v>
      </c>
      <c r="H59" s="24">
        <v>59</v>
      </c>
      <c r="I59" s="24">
        <v>0</v>
      </c>
      <c r="J59" s="24" t="s">
        <v>63</v>
      </c>
      <c r="K59" s="25">
        <v>162006421</v>
      </c>
      <c r="L59" s="26">
        <v>46244</v>
      </c>
      <c r="M59" s="38">
        <v>46246</v>
      </c>
      <c r="N59" s="52">
        <v>16552</v>
      </c>
      <c r="O59" s="27"/>
      <c r="P59" s="27"/>
      <c r="Q59" s="27"/>
      <c r="R59" s="46">
        <v>5267.7</v>
      </c>
      <c r="S59" s="46">
        <v>1171.0999999999995</v>
      </c>
      <c r="T59" s="46">
        <f t="shared" si="28"/>
        <v>4096.6000000000004</v>
      </c>
      <c r="U59" s="46">
        <v>4096.6000000000004</v>
      </c>
      <c r="V59" s="46"/>
      <c r="W59" s="46"/>
      <c r="X59" s="46">
        <v>4103.6000000000004</v>
      </c>
      <c r="Y59" s="46"/>
      <c r="Z59" s="46">
        <f>+T59-X59</f>
        <v>-7</v>
      </c>
      <c r="AA59" s="39">
        <f>Z59/T59</f>
        <v>-1.7087340721573987E-3</v>
      </c>
      <c r="AB59" s="73">
        <v>4096.55</v>
      </c>
      <c r="AC59" s="73"/>
      <c r="AD59" s="73"/>
      <c r="AE59" s="39"/>
      <c r="AF59" s="74"/>
      <c r="AG59" s="74"/>
      <c r="AH59" s="75"/>
      <c r="AI59" s="75">
        <f t="shared" si="29"/>
        <v>0</v>
      </c>
      <c r="AJ59" s="32"/>
      <c r="AK59" s="32"/>
      <c r="AL59" s="32"/>
      <c r="AM59" s="33"/>
      <c r="AN59" s="33"/>
      <c r="AO59" s="33"/>
      <c r="AP59" s="34">
        <f t="shared" si="30"/>
        <v>0</v>
      </c>
      <c r="AQ59" s="32">
        <f t="shared" si="31"/>
        <v>0</v>
      </c>
      <c r="AR59" s="32">
        <f t="shared" si="32"/>
        <v>0</v>
      </c>
      <c r="AS59" s="32"/>
      <c r="AT59" s="32"/>
      <c r="AU59" s="32"/>
      <c r="AV59" s="32"/>
      <c r="AW59" s="32"/>
      <c r="AX59" s="32"/>
      <c r="AY59" s="32"/>
      <c r="AZ59" s="35"/>
      <c r="BB59" s="45">
        <f>IF(AND(AB59="",AC59=""),T59,IF(AC59="",AB59,AC59))</f>
        <v>4096.55</v>
      </c>
      <c r="BC59" s="45">
        <f t="shared" si="27"/>
        <v>4103.6000000000004</v>
      </c>
      <c r="BD59" s="45"/>
      <c r="BE59" s="45">
        <f t="shared" si="33"/>
        <v>-7.0500000000001819</v>
      </c>
      <c r="BF59" s="39">
        <f t="shared" si="34"/>
        <v>-1.7209603202695393E-3</v>
      </c>
    </row>
    <row r="60" spans="1:58" s="20" customFormat="1" ht="12.75" x14ac:dyDescent="0.2">
      <c r="A60" s="21">
        <f>IF(ISBLANK(F60),"",COUNTA($F$6:F60))</f>
        <v>55</v>
      </c>
      <c r="B60" s="37" t="s">
        <v>60</v>
      </c>
      <c r="C60" s="37" t="s">
        <v>61</v>
      </c>
      <c r="D60" s="22"/>
      <c r="E60" s="23" t="s">
        <v>64</v>
      </c>
      <c r="F60" s="36">
        <v>46244</v>
      </c>
      <c r="G60" s="24" t="s">
        <v>69</v>
      </c>
      <c r="H60" s="24">
        <v>59</v>
      </c>
      <c r="I60" s="24">
        <v>0</v>
      </c>
      <c r="J60" s="24" t="s">
        <v>64</v>
      </c>
      <c r="K60" s="25">
        <v>162004387</v>
      </c>
      <c r="L60" s="26">
        <v>46244</v>
      </c>
      <c r="M60" s="38">
        <v>46247</v>
      </c>
      <c r="N60" s="52">
        <v>16556</v>
      </c>
      <c r="O60" s="27"/>
      <c r="P60" s="27"/>
      <c r="Q60" s="27"/>
      <c r="R60" s="46">
        <v>5288.9</v>
      </c>
      <c r="S60" s="46">
        <v>1171.0999999999995</v>
      </c>
      <c r="T60" s="46">
        <f t="shared" si="28"/>
        <v>4117.8</v>
      </c>
      <c r="U60" s="46">
        <v>4117.8</v>
      </c>
      <c r="V60" s="46"/>
      <c r="W60" s="46"/>
      <c r="X60" s="46">
        <v>4096</v>
      </c>
      <c r="Y60" s="46"/>
      <c r="Z60" s="46">
        <f>+T60-X60</f>
        <v>21.800000000000182</v>
      </c>
      <c r="AA60" s="39">
        <f>Z60/T60</f>
        <v>5.2940890766914814E-3</v>
      </c>
      <c r="AB60" s="73">
        <v>4117.75</v>
      </c>
      <c r="AC60" s="73"/>
      <c r="AD60" s="73"/>
      <c r="AE60" s="39"/>
      <c r="AF60" s="74"/>
      <c r="AG60" s="74"/>
      <c r="AH60" s="75"/>
      <c r="AI60" s="75">
        <f t="shared" si="29"/>
        <v>0</v>
      </c>
      <c r="AJ60" s="32"/>
      <c r="AK60" s="32"/>
      <c r="AL60" s="32"/>
      <c r="AM60" s="33"/>
      <c r="AN60" s="33"/>
      <c r="AO60" s="33"/>
      <c r="AP60" s="34">
        <f t="shared" si="30"/>
        <v>0</v>
      </c>
      <c r="AQ60" s="32">
        <f t="shared" si="31"/>
        <v>0</v>
      </c>
      <c r="AR60" s="32">
        <f t="shared" si="32"/>
        <v>0</v>
      </c>
      <c r="AS60" s="32"/>
      <c r="AT60" s="32"/>
      <c r="AU60" s="32"/>
      <c r="AV60" s="32"/>
      <c r="AW60" s="32"/>
      <c r="AX60" s="32"/>
      <c r="AY60" s="32"/>
      <c r="AZ60" s="35"/>
      <c r="BB60" s="45">
        <f>IF(AND(AB60="",AC60=""),T60,IF(AC60="",AB60,AC60))</f>
        <v>4117.75</v>
      </c>
      <c r="BC60" s="45">
        <f t="shared" si="27"/>
        <v>4096</v>
      </c>
      <c r="BD60" s="45"/>
      <c r="BE60" s="45">
        <f t="shared" si="33"/>
        <v>21.75</v>
      </c>
      <c r="BF60" s="39">
        <f t="shared" si="34"/>
        <v>5.2820108068726852E-3</v>
      </c>
    </row>
    <row r="61" spans="1:58" s="20" customFormat="1" ht="12.75" x14ac:dyDescent="0.2">
      <c r="A61" s="21">
        <f>IF(ISBLANK(F61),"",COUNTA($F$6:F61))</f>
        <v>56</v>
      </c>
      <c r="B61" s="37" t="s">
        <v>60</v>
      </c>
      <c r="C61" s="37" t="s">
        <v>61</v>
      </c>
      <c r="D61" s="22"/>
      <c r="E61" s="23" t="s">
        <v>65</v>
      </c>
      <c r="F61" s="36">
        <v>46244</v>
      </c>
      <c r="G61" s="24" t="s">
        <v>59</v>
      </c>
      <c r="H61" s="24">
        <v>58</v>
      </c>
      <c r="I61" s="24">
        <v>2</v>
      </c>
      <c r="J61" s="24" t="s">
        <v>67</v>
      </c>
      <c r="K61" s="25">
        <v>162011703</v>
      </c>
      <c r="L61" s="26">
        <v>46245</v>
      </c>
      <c r="M61" s="38">
        <v>46246</v>
      </c>
      <c r="N61" s="52">
        <v>16551</v>
      </c>
      <c r="O61" s="27"/>
      <c r="P61" s="27"/>
      <c r="Q61" s="27"/>
      <c r="R61" s="46">
        <v>4865.2</v>
      </c>
      <c r="S61" s="46">
        <v>1198.0999999999999</v>
      </c>
      <c r="T61" s="46">
        <f t="shared" si="8"/>
        <v>3667.1</v>
      </c>
      <c r="U61" s="46">
        <v>3667.1</v>
      </c>
      <c r="V61" s="46"/>
      <c r="W61" s="46"/>
      <c r="X61" s="46">
        <v>3673.6</v>
      </c>
      <c r="Y61" s="46"/>
      <c r="Z61" s="46">
        <f>+T61-X61</f>
        <v>-6.5</v>
      </c>
      <c r="AA61" s="39">
        <f>Z61/T61</f>
        <v>-1.7725177933516948E-3</v>
      </c>
      <c r="AB61" s="73">
        <v>3679.26</v>
      </c>
      <c r="AC61" s="73"/>
      <c r="AD61" s="73"/>
      <c r="AE61" s="39"/>
      <c r="AF61" s="74"/>
      <c r="AG61" s="74"/>
      <c r="AH61" s="75"/>
      <c r="AI61" s="75">
        <f t="shared" si="9"/>
        <v>0</v>
      </c>
      <c r="AJ61" s="32"/>
      <c r="AK61" s="32"/>
      <c r="AL61" s="32"/>
      <c r="AM61" s="33"/>
      <c r="AN61" s="33"/>
      <c r="AO61" s="33"/>
      <c r="AP61" s="34">
        <f t="shared" si="10"/>
        <v>0</v>
      </c>
      <c r="AQ61" s="32">
        <f t="shared" si="11"/>
        <v>0</v>
      </c>
      <c r="AR61" s="32">
        <f t="shared" si="12"/>
        <v>0</v>
      </c>
      <c r="AS61" s="32"/>
      <c r="AT61" s="32"/>
      <c r="AU61" s="32"/>
      <c r="AV61" s="32"/>
      <c r="AW61" s="32"/>
      <c r="AX61" s="32"/>
      <c r="AY61" s="32"/>
      <c r="AZ61" s="35"/>
      <c r="BB61" s="45">
        <f>IF(AND(AB61="",AC61=""),T61,IF(AC61="",AB61,AC61))</f>
        <v>3679.26</v>
      </c>
      <c r="BC61" s="45">
        <f t="shared" si="27"/>
        <v>3673.6</v>
      </c>
      <c r="BD61" s="45"/>
      <c r="BE61" s="45">
        <f t="shared" si="6"/>
        <v>5.6600000000003092</v>
      </c>
      <c r="BF61" s="39">
        <f t="shared" si="7"/>
        <v>1.5383528209477746E-3</v>
      </c>
    </row>
    <row r="62" spans="1:58" s="20" customFormat="1" ht="12.75" x14ac:dyDescent="0.2">
      <c r="A62" s="21">
        <f>IF(ISBLANK(F62),"",COUNTA($F$6:F62))</f>
        <v>57</v>
      </c>
      <c r="B62" s="37" t="s">
        <v>60</v>
      </c>
      <c r="C62" s="37" t="s">
        <v>61</v>
      </c>
      <c r="D62" s="22"/>
      <c r="E62" s="23" t="s">
        <v>64</v>
      </c>
      <c r="F62" s="36">
        <v>46245</v>
      </c>
      <c r="G62" s="24" t="s">
        <v>59</v>
      </c>
      <c r="H62" s="24">
        <v>58</v>
      </c>
      <c r="I62" s="24">
        <v>3</v>
      </c>
      <c r="J62" s="24" t="s">
        <v>64</v>
      </c>
      <c r="K62" s="25">
        <v>162004389</v>
      </c>
      <c r="L62" s="26">
        <v>46245</v>
      </c>
      <c r="M62" s="38">
        <v>46247</v>
      </c>
      <c r="N62" s="52">
        <v>16554</v>
      </c>
      <c r="O62" s="27"/>
      <c r="P62" s="27"/>
      <c r="Q62" s="27"/>
      <c r="R62" s="46">
        <v>4926.29</v>
      </c>
      <c r="S62" s="46">
        <v>1140.5900000000001</v>
      </c>
      <c r="T62" s="46">
        <f t="shared" si="8"/>
        <v>3785.7</v>
      </c>
      <c r="U62" s="46">
        <v>3785.7</v>
      </c>
      <c r="V62" s="46"/>
      <c r="W62" s="46"/>
      <c r="X62" s="46">
        <v>3729.6</v>
      </c>
      <c r="Y62" s="46"/>
      <c r="Z62" s="46">
        <f>+T62-X62</f>
        <v>56.099999999999909</v>
      </c>
      <c r="AA62" s="39">
        <f>Z62/T62</f>
        <v>1.4818923844995618E-2</v>
      </c>
      <c r="AB62" s="73">
        <v>3785.7</v>
      </c>
      <c r="AC62" s="73"/>
      <c r="AD62" s="73"/>
      <c r="AE62" s="39"/>
      <c r="AF62" s="74"/>
      <c r="AG62" s="74"/>
      <c r="AH62" s="75"/>
      <c r="AI62" s="75">
        <f t="shared" si="9"/>
        <v>0</v>
      </c>
      <c r="AJ62" s="32"/>
      <c r="AK62" s="32"/>
      <c r="AL62" s="32"/>
      <c r="AM62" s="33"/>
      <c r="AN62" s="33"/>
      <c r="AO62" s="33"/>
      <c r="AP62" s="34">
        <f t="shared" si="10"/>
        <v>0</v>
      </c>
      <c r="AQ62" s="32">
        <f t="shared" si="11"/>
        <v>0</v>
      </c>
      <c r="AR62" s="32">
        <f t="shared" si="12"/>
        <v>0</v>
      </c>
      <c r="AS62" s="32"/>
      <c r="AT62" s="32"/>
      <c r="AU62" s="32"/>
      <c r="AV62" s="32"/>
      <c r="AW62" s="32"/>
      <c r="AX62" s="32"/>
      <c r="AY62" s="32"/>
      <c r="AZ62" s="35"/>
      <c r="BB62" s="45">
        <f>IF(AND(AB62="",AC62=""),T62,IF(AC62="",AB62,AC62))</f>
        <v>3785.7</v>
      </c>
      <c r="BC62" s="45">
        <f t="shared" si="27"/>
        <v>3729.6</v>
      </c>
      <c r="BD62" s="45"/>
      <c r="BE62" s="45">
        <f t="shared" si="6"/>
        <v>56.099999999999909</v>
      </c>
      <c r="BF62" s="39">
        <f t="shared" si="7"/>
        <v>1.4818923844995618E-2</v>
      </c>
    </row>
    <row r="63" spans="1:58" s="20" customFormat="1" ht="12.75" x14ac:dyDescent="0.2">
      <c r="A63" s="21">
        <f>IF(ISBLANK(F63),"",COUNTA($F$6:F63))</f>
        <v>58</v>
      </c>
      <c r="B63" s="37" t="s">
        <v>60</v>
      </c>
      <c r="C63" s="37" t="s">
        <v>61</v>
      </c>
      <c r="D63" s="22"/>
      <c r="E63" s="23" t="s">
        <v>64</v>
      </c>
      <c r="F63" s="36">
        <v>46245</v>
      </c>
      <c r="G63" s="24" t="s">
        <v>59</v>
      </c>
      <c r="H63" s="24">
        <v>58</v>
      </c>
      <c r="I63" s="24">
        <v>1</v>
      </c>
      <c r="J63" s="24" t="s">
        <v>64</v>
      </c>
      <c r="K63" s="25">
        <v>162004390</v>
      </c>
      <c r="L63" s="26">
        <v>46245</v>
      </c>
      <c r="M63" s="38">
        <v>46247</v>
      </c>
      <c r="N63" s="52">
        <v>16555</v>
      </c>
      <c r="O63" s="27"/>
      <c r="P63" s="27"/>
      <c r="Q63" s="27"/>
      <c r="R63" s="46">
        <v>5092.5</v>
      </c>
      <c r="S63" s="46">
        <v>1195.6999999999998</v>
      </c>
      <c r="T63" s="46">
        <f t="shared" si="8"/>
        <v>3896.8</v>
      </c>
      <c r="U63" s="46">
        <v>3896.8</v>
      </c>
      <c r="V63" s="46"/>
      <c r="W63" s="46"/>
      <c r="X63" s="46">
        <v>3856.8</v>
      </c>
      <c r="Y63" s="46"/>
      <c r="Z63" s="46">
        <f>+T63-X63</f>
        <v>40</v>
      </c>
      <c r="AA63" s="39">
        <f>Z63/T63</f>
        <v>1.0264832683227263E-2</v>
      </c>
      <c r="AB63" s="73"/>
      <c r="AC63" s="73"/>
      <c r="AD63" s="73"/>
      <c r="AE63" s="39"/>
      <c r="AF63" s="74"/>
      <c r="AG63" s="74"/>
      <c r="AH63" s="75"/>
      <c r="AI63" s="75">
        <f t="shared" si="9"/>
        <v>0</v>
      </c>
      <c r="AJ63" s="32"/>
      <c r="AK63" s="32"/>
      <c r="AL63" s="32"/>
      <c r="AM63" s="33"/>
      <c r="AN63" s="33"/>
      <c r="AO63" s="33"/>
      <c r="AP63" s="34">
        <f t="shared" si="10"/>
        <v>0</v>
      </c>
      <c r="AQ63" s="32">
        <f t="shared" si="11"/>
        <v>0</v>
      </c>
      <c r="AR63" s="32">
        <f t="shared" si="12"/>
        <v>0</v>
      </c>
      <c r="AS63" s="32"/>
      <c r="AT63" s="32"/>
      <c r="AU63" s="32"/>
      <c r="AV63" s="32"/>
      <c r="AW63" s="32"/>
      <c r="AX63" s="32"/>
      <c r="AY63" s="32"/>
      <c r="AZ63" s="35"/>
      <c r="BB63" s="45">
        <f>IF(AND(AB63="",AC63=""),T63,IF(AC63="",AB63,AC63))</f>
        <v>3896.8</v>
      </c>
      <c r="BC63" s="45">
        <f t="shared" si="27"/>
        <v>3856.8</v>
      </c>
      <c r="BD63" s="45"/>
      <c r="BE63" s="45">
        <f t="shared" si="6"/>
        <v>40</v>
      </c>
      <c r="BF63" s="39">
        <f t="shared" si="7"/>
        <v>1.0264832683227263E-2</v>
      </c>
    </row>
    <row r="64" spans="1:58" s="91" customFormat="1" ht="12.75" x14ac:dyDescent="0.2">
      <c r="A64" s="76">
        <f>IF(ISBLANK(F64),"",COUNTA($F$6:F64))</f>
        <v>59</v>
      </c>
      <c r="B64" s="77" t="s">
        <v>60</v>
      </c>
      <c r="C64" s="77" t="s">
        <v>61</v>
      </c>
      <c r="D64" s="78"/>
      <c r="E64" s="79" t="s">
        <v>65</v>
      </c>
      <c r="F64" s="80">
        <v>46245</v>
      </c>
      <c r="G64" s="81" t="s">
        <v>59</v>
      </c>
      <c r="H64" s="81">
        <v>58</v>
      </c>
      <c r="I64" s="81">
        <v>1</v>
      </c>
      <c r="J64" s="81" t="s">
        <v>67</v>
      </c>
      <c r="K64" s="82">
        <v>162011705</v>
      </c>
      <c r="L64" s="83">
        <v>46246</v>
      </c>
      <c r="M64" s="84">
        <v>46248</v>
      </c>
      <c r="N64" s="85">
        <v>16561</v>
      </c>
      <c r="O64" s="86"/>
      <c r="P64" s="86"/>
      <c r="Q64" s="86"/>
      <c r="R64" s="46">
        <v>5106.6000000000004</v>
      </c>
      <c r="S64" s="46">
        <v>1190.6000000000004</v>
      </c>
      <c r="T64" s="46">
        <f t="shared" si="8"/>
        <v>3916</v>
      </c>
      <c r="U64" s="46">
        <v>3953.4</v>
      </c>
      <c r="V64" s="46"/>
      <c r="W64" s="46"/>
      <c r="X64" s="46">
        <v>4016</v>
      </c>
      <c r="Y64" s="46"/>
      <c r="Z64" s="46">
        <f>+T64-X64</f>
        <v>-100</v>
      </c>
      <c r="AA64" s="39">
        <f>Z64/T64</f>
        <v>-2.5536261491317672E-2</v>
      </c>
      <c r="AB64" s="73"/>
      <c r="AC64" s="73"/>
      <c r="AD64" s="73"/>
      <c r="AE64" s="39"/>
      <c r="AF64" s="74"/>
      <c r="AG64" s="74"/>
      <c r="AH64" s="75"/>
      <c r="AI64" s="75">
        <f t="shared" si="9"/>
        <v>0</v>
      </c>
      <c r="AJ64" s="87"/>
      <c r="AK64" s="87"/>
      <c r="AL64" s="87"/>
      <c r="AM64" s="88"/>
      <c r="AN64" s="88"/>
      <c r="AO64" s="88"/>
      <c r="AP64" s="89">
        <f t="shared" si="10"/>
        <v>0</v>
      </c>
      <c r="AQ64" s="87">
        <f t="shared" si="11"/>
        <v>0</v>
      </c>
      <c r="AR64" s="87">
        <f t="shared" si="12"/>
        <v>0</v>
      </c>
      <c r="AS64" s="87"/>
      <c r="AT64" s="87"/>
      <c r="AU64" s="87"/>
      <c r="AV64" s="87"/>
      <c r="AW64" s="87"/>
      <c r="AX64" s="87"/>
      <c r="AY64" s="87"/>
      <c r="AZ64" s="90"/>
      <c r="BB64" s="92">
        <f>IF(AND(AB64="",AC64=""),T64,IF(AC64="",AB64,AC64))</f>
        <v>3916</v>
      </c>
      <c r="BC64" s="92">
        <f t="shared" si="27"/>
        <v>4016</v>
      </c>
      <c r="BD64" s="92"/>
      <c r="BE64" s="92">
        <f t="shared" si="6"/>
        <v>-100</v>
      </c>
      <c r="BF64" s="39">
        <f t="shared" si="7"/>
        <v>-2.5536261491317672E-2</v>
      </c>
    </row>
    <row r="65" spans="1:58" s="20" customFormat="1" ht="12.75" x14ac:dyDescent="0.2">
      <c r="A65" s="21">
        <f>IF(ISBLANK(F65),"",COUNTA($F$6:F65))</f>
        <v>60</v>
      </c>
      <c r="B65" s="37" t="s">
        <v>60</v>
      </c>
      <c r="C65" s="37" t="s">
        <v>61</v>
      </c>
      <c r="D65" s="22"/>
      <c r="E65" s="23" t="s">
        <v>65</v>
      </c>
      <c r="F65" s="36">
        <v>46246</v>
      </c>
      <c r="G65" s="24" t="s">
        <v>59</v>
      </c>
      <c r="H65" s="24">
        <v>59</v>
      </c>
      <c r="I65" s="24">
        <v>0</v>
      </c>
      <c r="J65" s="24" t="s">
        <v>67</v>
      </c>
      <c r="K65" s="25">
        <v>162011706</v>
      </c>
      <c r="L65" s="26">
        <v>46246</v>
      </c>
      <c r="M65" s="38">
        <v>46247</v>
      </c>
      <c r="N65" s="52">
        <v>16557</v>
      </c>
      <c r="O65" s="27"/>
      <c r="P65" s="27"/>
      <c r="Q65" s="27"/>
      <c r="R65" s="46">
        <v>5310.33</v>
      </c>
      <c r="S65" s="46">
        <v>1253.33</v>
      </c>
      <c r="T65" s="46">
        <f t="shared" si="8"/>
        <v>4057</v>
      </c>
      <c r="U65" s="46">
        <v>4057</v>
      </c>
      <c r="V65" s="46"/>
      <c r="W65" s="46"/>
      <c r="X65" s="46">
        <v>4194.6000000000004</v>
      </c>
      <c r="Y65" s="46"/>
      <c r="Z65" s="46">
        <f>+T65-X65</f>
        <v>-137.60000000000036</v>
      </c>
      <c r="AA65" s="39">
        <f>Z65/T65</f>
        <v>-3.3916687207296119E-2</v>
      </c>
      <c r="AB65" s="73">
        <v>4194.05</v>
      </c>
      <c r="AC65" s="73"/>
      <c r="AD65" s="73"/>
      <c r="AE65" s="39"/>
      <c r="AF65" s="74"/>
      <c r="AG65" s="74"/>
      <c r="AH65" s="75"/>
      <c r="AI65" s="75">
        <f t="shared" si="9"/>
        <v>0</v>
      </c>
      <c r="AJ65" s="32"/>
      <c r="AK65" s="32"/>
      <c r="AL65" s="32"/>
      <c r="AM65" s="33"/>
      <c r="AN65" s="33"/>
      <c r="AO65" s="33"/>
      <c r="AP65" s="34">
        <f t="shared" si="10"/>
        <v>0</v>
      </c>
      <c r="AQ65" s="32">
        <f t="shared" si="11"/>
        <v>0</v>
      </c>
      <c r="AR65" s="32">
        <f t="shared" si="12"/>
        <v>0</v>
      </c>
      <c r="AS65" s="32"/>
      <c r="AT65" s="32"/>
      <c r="AU65" s="32"/>
      <c r="AV65" s="32"/>
      <c r="AW65" s="32"/>
      <c r="AX65" s="32"/>
      <c r="AY65" s="32"/>
      <c r="AZ65" s="35"/>
      <c r="BB65" s="45">
        <f>IF(AND(AB65="",AC65=""),T65,IF(AC65="",AB65,AC65))</f>
        <v>4194.05</v>
      </c>
      <c r="BC65" s="45">
        <f t="shared" si="27"/>
        <v>4194.6000000000004</v>
      </c>
      <c r="BD65" s="45"/>
      <c r="BE65" s="45">
        <f t="shared" si="6"/>
        <v>-0.5500000000001819</v>
      </c>
      <c r="BF65" s="39">
        <f t="shared" si="7"/>
        <v>-1.3113816001244187E-4</v>
      </c>
    </row>
    <row r="66" spans="1:58" s="91" customFormat="1" ht="12.75" x14ac:dyDescent="0.2">
      <c r="A66" s="76">
        <f>IF(ISBLANK(F66),"",COUNTA($F$6:F66))</f>
        <v>61</v>
      </c>
      <c r="B66" s="77" t="s">
        <v>60</v>
      </c>
      <c r="C66" s="77" t="s">
        <v>61</v>
      </c>
      <c r="D66" s="78"/>
      <c r="E66" s="79" t="s">
        <v>63</v>
      </c>
      <c r="F66" s="80">
        <v>46246</v>
      </c>
      <c r="G66" s="81" t="s">
        <v>59</v>
      </c>
      <c r="H66" s="81">
        <v>58</v>
      </c>
      <c r="I66" s="81">
        <v>6</v>
      </c>
      <c r="J66" s="81" t="s">
        <v>63</v>
      </c>
      <c r="K66" s="82">
        <v>162006427</v>
      </c>
      <c r="L66" s="83">
        <v>46246</v>
      </c>
      <c r="M66" s="84" t="s">
        <v>72</v>
      </c>
      <c r="N66" s="85">
        <v>16564</v>
      </c>
      <c r="O66" s="86"/>
      <c r="P66" s="86"/>
      <c r="Q66" s="86"/>
      <c r="R66" s="46">
        <v>4673.29</v>
      </c>
      <c r="S66" s="46">
        <v>1083.29</v>
      </c>
      <c r="T66" s="46">
        <f t="shared" ref="T66:T73" si="35">+R66-S66</f>
        <v>3590</v>
      </c>
      <c r="U66" s="46">
        <v>3591.4</v>
      </c>
      <c r="V66" s="46"/>
      <c r="W66" s="46"/>
      <c r="X66" s="46">
        <v>3522.6</v>
      </c>
      <c r="Y66" s="46"/>
      <c r="Z66" s="46">
        <f>+T66-X66</f>
        <v>67.400000000000091</v>
      </c>
      <c r="AA66" s="39">
        <f>Z66/T66</f>
        <v>1.877437325905295E-2</v>
      </c>
      <c r="AB66" s="73"/>
      <c r="AC66" s="73"/>
      <c r="AD66" s="73"/>
      <c r="AE66" s="39"/>
      <c r="AF66" s="74"/>
      <c r="AG66" s="74"/>
      <c r="AH66" s="75"/>
      <c r="AI66" s="75">
        <f t="shared" ref="AI66:AI73" si="36">+AG66+AH66</f>
        <v>0</v>
      </c>
      <c r="AJ66" s="87"/>
      <c r="AK66" s="87"/>
      <c r="AL66" s="87"/>
      <c r="AM66" s="88"/>
      <c r="AN66" s="88"/>
      <c r="AO66" s="88"/>
      <c r="AP66" s="89">
        <f t="shared" ref="AP66:AP73" si="37">ROUNDUP((AO66-AM66+(AO66&lt;AM66))*24,0)</f>
        <v>0</v>
      </c>
      <c r="AQ66" s="87">
        <f t="shared" ref="AQ66:AQ73" si="38">IF(AP66&gt;5,(AP66-5),0)</f>
        <v>0</v>
      </c>
      <c r="AR66" s="87">
        <f t="shared" ref="AR66:AR73" si="39">+AQ66*8850</f>
        <v>0</v>
      </c>
      <c r="AS66" s="87"/>
      <c r="AT66" s="87"/>
      <c r="AU66" s="87"/>
      <c r="AV66" s="87"/>
      <c r="AW66" s="87"/>
      <c r="AX66" s="87"/>
      <c r="AY66" s="87"/>
      <c r="AZ66" s="90"/>
      <c r="BB66" s="92">
        <f>IF(AND(AB66="",AC66=""),T66,IF(AC66="",AB66,AC66))</f>
        <v>3590</v>
      </c>
      <c r="BC66" s="92">
        <f t="shared" si="27"/>
        <v>3522.6</v>
      </c>
      <c r="BD66" s="92"/>
      <c r="BE66" s="92">
        <f t="shared" ref="BE66:BE73" si="40">+BB66-BC66</f>
        <v>67.400000000000091</v>
      </c>
      <c r="BF66" s="39">
        <f t="shared" ref="BF66:BF73" si="41">+BE66/BB66</f>
        <v>1.877437325905295E-2</v>
      </c>
    </row>
    <row r="67" spans="1:58" s="91" customFormat="1" ht="12.75" x14ac:dyDescent="0.2">
      <c r="A67" s="76">
        <f>IF(ISBLANK(F67),"",COUNTA($F$6:F67))</f>
        <v>62</v>
      </c>
      <c r="B67" s="77" t="s">
        <v>60</v>
      </c>
      <c r="C67" s="77" t="s">
        <v>61</v>
      </c>
      <c r="D67" s="78"/>
      <c r="E67" s="79" t="s">
        <v>64</v>
      </c>
      <c r="F67" s="80">
        <v>46246</v>
      </c>
      <c r="G67" s="81" t="s">
        <v>59</v>
      </c>
      <c r="H67" s="81">
        <v>58</v>
      </c>
      <c r="I67" s="81">
        <v>0</v>
      </c>
      <c r="J67" s="81" t="s">
        <v>64</v>
      </c>
      <c r="K67" s="82">
        <v>162004392</v>
      </c>
      <c r="L67" s="83">
        <v>46246</v>
      </c>
      <c r="M67" s="84" t="s">
        <v>72</v>
      </c>
      <c r="N67" s="85">
        <v>16560</v>
      </c>
      <c r="O67" s="86"/>
      <c r="P67" s="86"/>
      <c r="Q67" s="86"/>
      <c r="R67" s="46">
        <v>5191.7700000000004</v>
      </c>
      <c r="S67" s="46">
        <v>1206.1700000000005</v>
      </c>
      <c r="T67" s="46">
        <f t="shared" si="35"/>
        <v>3985.6</v>
      </c>
      <c r="U67" s="46">
        <v>3994.8</v>
      </c>
      <c r="V67" s="46"/>
      <c r="W67" s="46"/>
      <c r="X67" s="46">
        <v>3933</v>
      </c>
      <c r="Y67" s="46"/>
      <c r="Z67" s="46">
        <f>+T67-X67</f>
        <v>52.599999999999909</v>
      </c>
      <c r="AA67" s="39">
        <f>Z67/T67</f>
        <v>1.3197511039743053E-2</v>
      </c>
      <c r="AB67" s="73"/>
      <c r="AC67" s="73"/>
      <c r="AD67" s="73"/>
      <c r="AE67" s="39"/>
      <c r="AF67" s="74"/>
      <c r="AG67" s="74"/>
      <c r="AH67" s="75"/>
      <c r="AI67" s="75">
        <f t="shared" si="36"/>
        <v>0</v>
      </c>
      <c r="AJ67" s="87"/>
      <c r="AK67" s="87"/>
      <c r="AL67" s="87"/>
      <c r="AM67" s="88"/>
      <c r="AN67" s="88"/>
      <c r="AO67" s="88"/>
      <c r="AP67" s="89">
        <f t="shared" si="37"/>
        <v>0</v>
      </c>
      <c r="AQ67" s="87">
        <f t="shared" si="38"/>
        <v>0</v>
      </c>
      <c r="AR67" s="87">
        <f t="shared" si="39"/>
        <v>0</v>
      </c>
      <c r="AS67" s="87"/>
      <c r="AT67" s="87"/>
      <c r="AU67" s="87"/>
      <c r="AV67" s="87"/>
      <c r="AW67" s="87"/>
      <c r="AX67" s="87"/>
      <c r="AY67" s="87"/>
      <c r="AZ67" s="90"/>
      <c r="BB67" s="92">
        <f>IF(AND(AB67="",AC67=""),T67,IF(AC67="",AB67,AC67))</f>
        <v>3985.6</v>
      </c>
      <c r="BC67" s="92">
        <f t="shared" si="27"/>
        <v>3933</v>
      </c>
      <c r="BD67" s="92"/>
      <c r="BE67" s="92">
        <f t="shared" si="40"/>
        <v>52.599999999999909</v>
      </c>
      <c r="BF67" s="39">
        <f t="shared" si="41"/>
        <v>1.3197511039743053E-2</v>
      </c>
    </row>
    <row r="68" spans="1:58" s="91" customFormat="1" ht="12.75" x14ac:dyDescent="0.2">
      <c r="A68" s="76">
        <f>IF(ISBLANK(F68),"",COUNTA($F$6:F68))</f>
        <v>63</v>
      </c>
      <c r="B68" s="77" t="s">
        <v>60</v>
      </c>
      <c r="C68" s="77" t="s">
        <v>61</v>
      </c>
      <c r="D68" s="78"/>
      <c r="E68" s="79" t="s">
        <v>65</v>
      </c>
      <c r="F68" s="80">
        <v>46246</v>
      </c>
      <c r="G68" s="81" t="s">
        <v>59</v>
      </c>
      <c r="H68" s="81">
        <v>58</v>
      </c>
      <c r="I68" s="81">
        <v>1</v>
      </c>
      <c r="J68" s="81" t="s">
        <v>67</v>
      </c>
      <c r="K68" s="82">
        <v>162011708</v>
      </c>
      <c r="L68" s="83">
        <v>46247</v>
      </c>
      <c r="M68" s="84" t="s">
        <v>72</v>
      </c>
      <c r="N68" s="85">
        <v>16563</v>
      </c>
      <c r="O68" s="86"/>
      <c r="P68" s="86"/>
      <c r="Q68" s="86"/>
      <c r="R68" s="46">
        <v>5134.3599999999997</v>
      </c>
      <c r="S68" s="46">
        <v>1206.7599999999998</v>
      </c>
      <c r="T68" s="46">
        <f t="shared" si="35"/>
        <v>3927.6</v>
      </c>
      <c r="U68" s="46">
        <v>3942.2</v>
      </c>
      <c r="V68" s="46"/>
      <c r="W68" s="46"/>
      <c r="X68" s="46">
        <v>4092.6</v>
      </c>
      <c r="Y68" s="46"/>
      <c r="Z68" s="46">
        <f>+T68-X68</f>
        <v>-165</v>
      </c>
      <c r="AA68" s="39">
        <f>Z68/T68</f>
        <v>-4.2010388023220289E-2</v>
      </c>
      <c r="AB68" s="73">
        <v>3965.72</v>
      </c>
      <c r="AC68" s="73"/>
      <c r="AD68" s="73"/>
      <c r="AE68" s="39"/>
      <c r="AF68" s="74"/>
      <c r="AG68" s="74"/>
      <c r="AH68" s="75"/>
      <c r="AI68" s="75">
        <f t="shared" si="36"/>
        <v>0</v>
      </c>
      <c r="AJ68" s="87"/>
      <c r="AK68" s="87"/>
      <c r="AL68" s="87"/>
      <c r="AM68" s="88"/>
      <c r="AN68" s="88"/>
      <c r="AO68" s="88"/>
      <c r="AP68" s="89">
        <f t="shared" si="37"/>
        <v>0</v>
      </c>
      <c r="AQ68" s="87">
        <f t="shared" si="38"/>
        <v>0</v>
      </c>
      <c r="AR68" s="87">
        <f t="shared" si="39"/>
        <v>0</v>
      </c>
      <c r="AS68" s="87"/>
      <c r="AT68" s="87"/>
      <c r="AU68" s="87"/>
      <c r="AV68" s="87"/>
      <c r="AW68" s="87"/>
      <c r="AX68" s="87"/>
      <c r="AY68" s="87"/>
      <c r="AZ68" s="90"/>
      <c r="BB68" s="92">
        <f>IF(AND(AB68="",AC68=""),T68,IF(AC68="",AB68,AC68))</f>
        <v>3965.72</v>
      </c>
      <c r="BC68" s="92">
        <f t="shared" si="27"/>
        <v>4092.6</v>
      </c>
      <c r="BD68" s="92"/>
      <c r="BE68" s="92">
        <f t="shared" si="40"/>
        <v>-126.88000000000011</v>
      </c>
      <c r="BF68" s="39">
        <f t="shared" si="41"/>
        <v>-3.1994190210100588E-2</v>
      </c>
    </row>
    <row r="69" spans="1:58" s="91" customFormat="1" ht="12.75" x14ac:dyDescent="0.2">
      <c r="A69" s="76">
        <f>IF(ISBLANK(F69),"",COUNTA($F$6:F69))</f>
        <v>64</v>
      </c>
      <c r="B69" s="77" t="s">
        <v>60</v>
      </c>
      <c r="C69" s="77" t="s">
        <v>61</v>
      </c>
      <c r="D69" s="78"/>
      <c r="E69" s="79" t="s">
        <v>65</v>
      </c>
      <c r="F69" s="80">
        <v>46247</v>
      </c>
      <c r="G69" s="81" t="s">
        <v>59</v>
      </c>
      <c r="H69" s="81">
        <v>58</v>
      </c>
      <c r="I69" s="81">
        <v>2</v>
      </c>
      <c r="J69" s="81" t="s">
        <v>67</v>
      </c>
      <c r="K69" s="82">
        <v>162011709</v>
      </c>
      <c r="L69" s="83">
        <v>46247</v>
      </c>
      <c r="M69" s="84" t="s">
        <v>73</v>
      </c>
      <c r="N69" s="85">
        <v>16568</v>
      </c>
      <c r="O69" s="86"/>
      <c r="P69" s="86"/>
      <c r="Q69" s="86"/>
      <c r="R69" s="46">
        <v>5037.5200000000004</v>
      </c>
      <c r="S69" s="46">
        <v>1170.6200000000003</v>
      </c>
      <c r="T69" s="46">
        <f t="shared" si="35"/>
        <v>3866.9</v>
      </c>
      <c r="U69" s="46">
        <v>3893</v>
      </c>
      <c r="V69" s="46"/>
      <c r="W69" s="46"/>
      <c r="X69" s="46">
        <v>3866.9</v>
      </c>
      <c r="Y69" s="46"/>
      <c r="Z69" s="46">
        <f>+T69-X69</f>
        <v>0</v>
      </c>
      <c r="AA69" s="39">
        <f>Z69/T69</f>
        <v>0</v>
      </c>
      <c r="AB69" s="73"/>
      <c r="AC69" s="73"/>
      <c r="AD69" s="73"/>
      <c r="AE69" s="39"/>
      <c r="AF69" s="74"/>
      <c r="AG69" s="74"/>
      <c r="AH69" s="75"/>
      <c r="AI69" s="75">
        <f t="shared" si="36"/>
        <v>0</v>
      </c>
      <c r="AJ69" s="87"/>
      <c r="AK69" s="87"/>
      <c r="AL69" s="87"/>
      <c r="AM69" s="88"/>
      <c r="AN69" s="88"/>
      <c r="AO69" s="88"/>
      <c r="AP69" s="89">
        <f t="shared" si="37"/>
        <v>0</v>
      </c>
      <c r="AQ69" s="87">
        <f t="shared" si="38"/>
        <v>0</v>
      </c>
      <c r="AR69" s="87">
        <f t="shared" si="39"/>
        <v>0</v>
      </c>
      <c r="AS69" s="87"/>
      <c r="AT69" s="87"/>
      <c r="AU69" s="87"/>
      <c r="AV69" s="87"/>
      <c r="AW69" s="87"/>
      <c r="AX69" s="87"/>
      <c r="AY69" s="87"/>
      <c r="AZ69" s="90"/>
      <c r="BB69" s="92">
        <f>IF(AND(AB69="",AC69=""),T69,IF(AC69="",AB69,AC69))</f>
        <v>3866.9</v>
      </c>
      <c r="BC69" s="92">
        <f t="shared" si="27"/>
        <v>3866.9</v>
      </c>
      <c r="BD69" s="92"/>
      <c r="BE69" s="92">
        <f t="shared" si="40"/>
        <v>0</v>
      </c>
      <c r="BF69" s="39">
        <f t="shared" si="41"/>
        <v>0</v>
      </c>
    </row>
    <row r="70" spans="1:58" s="91" customFormat="1" ht="12.75" x14ac:dyDescent="0.2">
      <c r="A70" s="76">
        <f>IF(ISBLANK(F70),"",COUNTA($F$6:F70))</f>
        <v>65</v>
      </c>
      <c r="B70" s="77" t="s">
        <v>60</v>
      </c>
      <c r="C70" s="77" t="s">
        <v>61</v>
      </c>
      <c r="D70" s="78"/>
      <c r="E70" s="79" t="s">
        <v>64</v>
      </c>
      <c r="F70" s="80">
        <v>46247</v>
      </c>
      <c r="G70" s="81" t="s">
        <v>59</v>
      </c>
      <c r="H70" s="81">
        <v>58</v>
      </c>
      <c r="I70" s="81">
        <v>4</v>
      </c>
      <c r="J70" s="81" t="s">
        <v>64</v>
      </c>
      <c r="K70" s="82">
        <v>162004394</v>
      </c>
      <c r="L70" s="83">
        <v>46247</v>
      </c>
      <c r="M70" s="84" t="s">
        <v>73</v>
      </c>
      <c r="N70" s="85">
        <v>16566</v>
      </c>
      <c r="O70" s="86"/>
      <c r="P70" s="86"/>
      <c r="Q70" s="86"/>
      <c r="R70" s="46">
        <v>4810.87</v>
      </c>
      <c r="S70" s="46">
        <v>1143.3699999999999</v>
      </c>
      <c r="T70" s="46">
        <f t="shared" si="35"/>
        <v>3667.5</v>
      </c>
      <c r="U70" s="46">
        <v>3697.2</v>
      </c>
      <c r="V70" s="46"/>
      <c r="W70" s="46"/>
      <c r="X70" s="46">
        <v>3335.4</v>
      </c>
      <c r="Y70" s="46"/>
      <c r="Z70" s="46">
        <f>+T70-X70</f>
        <v>332.09999999999991</v>
      </c>
      <c r="AA70" s="39">
        <f>Z70/T70</f>
        <v>9.0552147239263775E-2</v>
      </c>
      <c r="AB70" s="73">
        <v>3667.5</v>
      </c>
      <c r="AC70" s="73"/>
      <c r="AD70" s="73"/>
      <c r="AE70" s="39"/>
      <c r="AF70" s="74"/>
      <c r="AG70" s="74"/>
      <c r="AH70" s="75"/>
      <c r="AI70" s="75">
        <f t="shared" si="36"/>
        <v>0</v>
      </c>
      <c r="AJ70" s="87"/>
      <c r="AK70" s="87"/>
      <c r="AL70" s="87"/>
      <c r="AM70" s="88"/>
      <c r="AN70" s="88"/>
      <c r="AO70" s="88"/>
      <c r="AP70" s="89">
        <f t="shared" si="37"/>
        <v>0</v>
      </c>
      <c r="AQ70" s="87">
        <f t="shared" si="38"/>
        <v>0</v>
      </c>
      <c r="AR70" s="87">
        <f t="shared" si="39"/>
        <v>0</v>
      </c>
      <c r="AS70" s="87"/>
      <c r="AT70" s="87"/>
      <c r="AU70" s="87"/>
      <c r="AV70" s="87"/>
      <c r="AW70" s="87"/>
      <c r="AX70" s="87"/>
      <c r="AY70" s="87"/>
      <c r="AZ70" s="90"/>
      <c r="BB70" s="92">
        <f>IF(AND(AB70="",AC70=""),T70,IF(AC70="",AB70,AC70))</f>
        <v>3667.5</v>
      </c>
      <c r="BC70" s="92">
        <f t="shared" ref="BC70:BC89" si="42">+X70</f>
        <v>3335.4</v>
      </c>
      <c r="BD70" s="92"/>
      <c r="BE70" s="92">
        <f t="shared" si="40"/>
        <v>332.09999999999991</v>
      </c>
      <c r="BF70" s="39">
        <f t="shared" si="41"/>
        <v>9.0552147239263775E-2</v>
      </c>
    </row>
    <row r="71" spans="1:58" s="91" customFormat="1" ht="12.75" x14ac:dyDescent="0.2">
      <c r="A71" s="76">
        <f>IF(ISBLANK(F71),"",COUNTA($F$6:F71))</f>
        <v>66</v>
      </c>
      <c r="B71" s="77" t="s">
        <v>60</v>
      </c>
      <c r="C71" s="77" t="s">
        <v>61</v>
      </c>
      <c r="D71" s="78"/>
      <c r="E71" s="79" t="s">
        <v>64</v>
      </c>
      <c r="F71" s="80">
        <v>46247</v>
      </c>
      <c r="G71" s="81" t="s">
        <v>59</v>
      </c>
      <c r="H71" s="81">
        <v>56</v>
      </c>
      <c r="I71" s="81">
        <v>4</v>
      </c>
      <c r="J71" s="81" t="s">
        <v>64</v>
      </c>
      <c r="K71" s="82">
        <v>162004396</v>
      </c>
      <c r="L71" s="83">
        <v>46247</v>
      </c>
      <c r="M71" s="84" t="s">
        <v>74</v>
      </c>
      <c r="N71" s="85">
        <v>16573</v>
      </c>
      <c r="O71" s="86"/>
      <c r="P71" s="86"/>
      <c r="Q71" s="86"/>
      <c r="R71" s="46">
        <v>4657.72</v>
      </c>
      <c r="S71" s="46">
        <v>1081.3200000000002</v>
      </c>
      <c r="T71" s="46">
        <f t="shared" si="35"/>
        <v>3576.4</v>
      </c>
      <c r="U71" s="46">
        <v>3585</v>
      </c>
      <c r="V71" s="46"/>
      <c r="W71" s="46"/>
      <c r="X71" s="46">
        <v>3576.4</v>
      </c>
      <c r="Y71" s="46"/>
      <c r="Z71" s="46">
        <f>+T71-X71</f>
        <v>0</v>
      </c>
      <c r="AA71" s="39">
        <f>Z71/T71</f>
        <v>0</v>
      </c>
      <c r="AB71" s="73"/>
      <c r="AC71" s="73"/>
      <c r="AD71" s="73"/>
      <c r="AE71" s="39"/>
      <c r="AF71" s="74"/>
      <c r="AG71" s="74"/>
      <c r="AH71" s="75"/>
      <c r="AI71" s="75">
        <f t="shared" si="36"/>
        <v>0</v>
      </c>
      <c r="AJ71" s="87"/>
      <c r="AK71" s="87"/>
      <c r="AL71" s="87"/>
      <c r="AM71" s="88"/>
      <c r="AN71" s="88"/>
      <c r="AO71" s="88"/>
      <c r="AP71" s="89">
        <f t="shared" si="37"/>
        <v>0</v>
      </c>
      <c r="AQ71" s="87">
        <f t="shared" si="38"/>
        <v>0</v>
      </c>
      <c r="AR71" s="87">
        <f t="shared" si="39"/>
        <v>0</v>
      </c>
      <c r="AS71" s="87"/>
      <c r="AT71" s="87"/>
      <c r="AU71" s="87"/>
      <c r="AV71" s="87"/>
      <c r="AW71" s="87"/>
      <c r="AX71" s="87"/>
      <c r="AY71" s="87"/>
      <c r="AZ71" s="90"/>
      <c r="BB71" s="92">
        <f>IF(AND(AB71="",AC71=""),T71,IF(AC71="",AB71,AC71))</f>
        <v>3576.4</v>
      </c>
      <c r="BC71" s="92">
        <f t="shared" si="42"/>
        <v>3576.4</v>
      </c>
      <c r="BD71" s="92"/>
      <c r="BE71" s="92">
        <f t="shared" si="40"/>
        <v>0</v>
      </c>
      <c r="BF71" s="39">
        <f t="shared" si="41"/>
        <v>0</v>
      </c>
    </row>
    <row r="72" spans="1:58" s="91" customFormat="1" ht="12.75" x14ac:dyDescent="0.2">
      <c r="A72" s="76">
        <f>IF(ISBLANK(F72),"",COUNTA($F$6:F72))</f>
        <v>67</v>
      </c>
      <c r="B72" s="77" t="s">
        <v>60</v>
      </c>
      <c r="C72" s="77" t="s">
        <v>61</v>
      </c>
      <c r="D72" s="78"/>
      <c r="E72" s="79" t="s">
        <v>65</v>
      </c>
      <c r="F72" s="80">
        <v>46247</v>
      </c>
      <c r="G72" s="81" t="s">
        <v>59</v>
      </c>
      <c r="H72" s="81">
        <v>58</v>
      </c>
      <c r="I72" s="81">
        <v>3</v>
      </c>
      <c r="J72" s="81" t="s">
        <v>67</v>
      </c>
      <c r="K72" s="82">
        <v>162011711</v>
      </c>
      <c r="L72" s="83">
        <v>46248</v>
      </c>
      <c r="M72" s="84" t="s">
        <v>73</v>
      </c>
      <c r="N72" s="85">
        <v>16569</v>
      </c>
      <c r="O72" s="86"/>
      <c r="P72" s="86"/>
      <c r="Q72" s="86"/>
      <c r="R72" s="46">
        <v>4955.1099999999997</v>
      </c>
      <c r="S72" s="46">
        <v>1150.2099999999996</v>
      </c>
      <c r="T72" s="46">
        <f t="shared" si="35"/>
        <v>3804.9</v>
      </c>
      <c r="U72" s="46">
        <v>3817.8</v>
      </c>
      <c r="V72" s="46"/>
      <c r="W72" s="46"/>
      <c r="X72" s="46">
        <v>3804.9</v>
      </c>
      <c r="Y72" s="46"/>
      <c r="Z72" s="46">
        <f>+T72-X72</f>
        <v>0</v>
      </c>
      <c r="AA72" s="39">
        <f>Z72/T72</f>
        <v>0</v>
      </c>
      <c r="AB72" s="73"/>
      <c r="AC72" s="73"/>
      <c r="AD72" s="73"/>
      <c r="AE72" s="39"/>
      <c r="AF72" s="74"/>
      <c r="AG72" s="74"/>
      <c r="AH72" s="75"/>
      <c r="AI72" s="75">
        <f t="shared" si="36"/>
        <v>0</v>
      </c>
      <c r="AJ72" s="87"/>
      <c r="AK72" s="87"/>
      <c r="AL72" s="87"/>
      <c r="AM72" s="88"/>
      <c r="AN72" s="88"/>
      <c r="AO72" s="88"/>
      <c r="AP72" s="89">
        <f t="shared" si="37"/>
        <v>0</v>
      </c>
      <c r="AQ72" s="87">
        <f t="shared" si="38"/>
        <v>0</v>
      </c>
      <c r="AR72" s="87">
        <f t="shared" si="39"/>
        <v>0</v>
      </c>
      <c r="AS72" s="87"/>
      <c r="AT72" s="87"/>
      <c r="AU72" s="87"/>
      <c r="AV72" s="87"/>
      <c r="AW72" s="87"/>
      <c r="AX72" s="87"/>
      <c r="AY72" s="87"/>
      <c r="AZ72" s="90"/>
      <c r="BB72" s="92">
        <f>IF(AND(AB72="",AC72=""),T72,IF(AC72="",AB72,AC72))</f>
        <v>3804.9</v>
      </c>
      <c r="BC72" s="92">
        <f t="shared" si="42"/>
        <v>3804.9</v>
      </c>
      <c r="BD72" s="92"/>
      <c r="BE72" s="92">
        <f t="shared" si="40"/>
        <v>0</v>
      </c>
      <c r="BF72" s="39">
        <f t="shared" si="41"/>
        <v>0</v>
      </c>
    </row>
    <row r="73" spans="1:58" s="91" customFormat="1" ht="12.75" x14ac:dyDescent="0.2">
      <c r="A73" s="76">
        <f>IF(ISBLANK(F73),"",COUNTA($F$6:F73))</f>
        <v>68</v>
      </c>
      <c r="B73" s="77" t="s">
        <v>60</v>
      </c>
      <c r="C73" s="77" t="s">
        <v>61</v>
      </c>
      <c r="D73" s="78"/>
      <c r="E73" s="79" t="s">
        <v>64</v>
      </c>
      <c r="F73" s="80">
        <v>46248</v>
      </c>
      <c r="G73" s="81" t="s">
        <v>59</v>
      </c>
      <c r="H73" s="81">
        <v>59</v>
      </c>
      <c r="I73" s="81">
        <v>4</v>
      </c>
      <c r="J73" s="81" t="s">
        <v>64</v>
      </c>
      <c r="K73" s="82">
        <v>162004397</v>
      </c>
      <c r="L73" s="83">
        <v>46248</v>
      </c>
      <c r="M73" s="84" t="s">
        <v>74</v>
      </c>
      <c r="N73" s="85">
        <v>16572</v>
      </c>
      <c r="O73" s="86"/>
      <c r="P73" s="86"/>
      <c r="Q73" s="86"/>
      <c r="R73" s="46">
        <v>4916.13</v>
      </c>
      <c r="S73" s="46">
        <v>1150.9300000000003</v>
      </c>
      <c r="T73" s="46">
        <f t="shared" si="35"/>
        <v>3765.2</v>
      </c>
      <c r="U73" s="46">
        <v>3780.2</v>
      </c>
      <c r="V73" s="46"/>
      <c r="W73" s="46"/>
      <c r="X73" s="46">
        <v>3765.2</v>
      </c>
      <c r="Y73" s="46"/>
      <c r="Z73" s="46">
        <f>+T73-X73</f>
        <v>0</v>
      </c>
      <c r="AA73" s="39">
        <f>Z73/T73</f>
        <v>0</v>
      </c>
      <c r="AB73" s="73"/>
      <c r="AC73" s="73"/>
      <c r="AD73" s="73"/>
      <c r="AE73" s="39"/>
      <c r="AF73" s="74"/>
      <c r="AG73" s="74"/>
      <c r="AH73" s="75"/>
      <c r="AI73" s="75">
        <f t="shared" si="36"/>
        <v>0</v>
      </c>
      <c r="AJ73" s="87"/>
      <c r="AK73" s="87"/>
      <c r="AL73" s="87"/>
      <c r="AM73" s="88"/>
      <c r="AN73" s="88"/>
      <c r="AO73" s="88"/>
      <c r="AP73" s="89">
        <f t="shared" si="37"/>
        <v>0</v>
      </c>
      <c r="AQ73" s="87">
        <f t="shared" si="38"/>
        <v>0</v>
      </c>
      <c r="AR73" s="87">
        <f t="shared" si="39"/>
        <v>0</v>
      </c>
      <c r="AS73" s="87"/>
      <c r="AT73" s="87"/>
      <c r="AU73" s="87"/>
      <c r="AV73" s="87"/>
      <c r="AW73" s="87"/>
      <c r="AX73" s="87"/>
      <c r="AY73" s="87"/>
      <c r="AZ73" s="90"/>
      <c r="BB73" s="92">
        <f>IF(AND(AB73="",AC73=""),T73,IF(AC73="",AB73,AC73))</f>
        <v>3765.2</v>
      </c>
      <c r="BC73" s="92">
        <f t="shared" si="42"/>
        <v>3765.2</v>
      </c>
      <c r="BD73" s="92"/>
      <c r="BE73" s="92">
        <f t="shared" si="40"/>
        <v>0</v>
      </c>
      <c r="BF73" s="39">
        <f t="shared" si="41"/>
        <v>0</v>
      </c>
    </row>
    <row r="74" spans="1:58" s="91" customFormat="1" ht="12.75" x14ac:dyDescent="0.2">
      <c r="A74" s="76">
        <f>IF(ISBLANK(F74),"",COUNTA($F$6:F74))</f>
        <v>69</v>
      </c>
      <c r="B74" s="77" t="s">
        <v>60</v>
      </c>
      <c r="C74" s="77" t="s">
        <v>61</v>
      </c>
      <c r="D74" s="78"/>
      <c r="E74" s="79" t="s">
        <v>64</v>
      </c>
      <c r="F74" s="80">
        <v>46248</v>
      </c>
      <c r="G74" s="81" t="s">
        <v>59</v>
      </c>
      <c r="H74" s="81">
        <v>58</v>
      </c>
      <c r="I74" s="81">
        <v>7</v>
      </c>
      <c r="J74" s="81" t="s">
        <v>64</v>
      </c>
      <c r="K74" s="82">
        <v>162004398</v>
      </c>
      <c r="L74" s="83">
        <v>46248</v>
      </c>
      <c r="M74" s="84" t="s">
        <v>73</v>
      </c>
      <c r="N74" s="85">
        <v>16570</v>
      </c>
      <c r="O74" s="86"/>
      <c r="P74" s="86"/>
      <c r="Q74" s="86"/>
      <c r="R74" s="46">
        <v>4564.2</v>
      </c>
      <c r="S74" s="46">
        <v>1062</v>
      </c>
      <c r="T74" s="46">
        <f t="shared" si="8"/>
        <v>3502.2</v>
      </c>
      <c r="U74" s="46">
        <v>3515.2</v>
      </c>
      <c r="V74" s="46"/>
      <c r="W74" s="46"/>
      <c r="X74" s="46">
        <v>3502.2</v>
      </c>
      <c r="Y74" s="46"/>
      <c r="Z74" s="46">
        <f>+T74-X74</f>
        <v>0</v>
      </c>
      <c r="AA74" s="39">
        <f>Z74/T74</f>
        <v>0</v>
      </c>
      <c r="AB74" s="73"/>
      <c r="AC74" s="73"/>
      <c r="AD74" s="73"/>
      <c r="AE74" s="39"/>
      <c r="AF74" s="74"/>
      <c r="AG74" s="74"/>
      <c r="AH74" s="75"/>
      <c r="AI74" s="75">
        <f t="shared" si="9"/>
        <v>0</v>
      </c>
      <c r="AJ74" s="87"/>
      <c r="AK74" s="87"/>
      <c r="AL74" s="87"/>
      <c r="AM74" s="88"/>
      <c r="AN74" s="88"/>
      <c r="AO74" s="88"/>
      <c r="AP74" s="89">
        <f t="shared" si="10"/>
        <v>0</v>
      </c>
      <c r="AQ74" s="87">
        <f t="shared" si="11"/>
        <v>0</v>
      </c>
      <c r="AR74" s="87">
        <f t="shared" si="12"/>
        <v>0</v>
      </c>
      <c r="AS74" s="87"/>
      <c r="AT74" s="87"/>
      <c r="AU74" s="87"/>
      <c r="AV74" s="87"/>
      <c r="AW74" s="87"/>
      <c r="AX74" s="87"/>
      <c r="AY74" s="87"/>
      <c r="AZ74" s="90"/>
      <c r="BB74" s="92">
        <f>IF(AND(AB74="",AC74=""),T74,IF(AC74="",AB74,AC74))</f>
        <v>3502.2</v>
      </c>
      <c r="BC74" s="92">
        <f t="shared" si="42"/>
        <v>3502.2</v>
      </c>
      <c r="BD74" s="92"/>
      <c r="BE74" s="92">
        <f t="shared" si="6"/>
        <v>0</v>
      </c>
      <c r="BF74" s="39">
        <f t="shared" si="7"/>
        <v>0</v>
      </c>
    </row>
    <row r="75" spans="1:58" s="91" customFormat="1" ht="12.75" x14ac:dyDescent="0.2">
      <c r="A75" s="76">
        <f>IF(ISBLANK(F75),"",COUNTA($F$6:F75))</f>
        <v>70</v>
      </c>
      <c r="B75" s="77" t="s">
        <v>60</v>
      </c>
      <c r="C75" s="77" t="s">
        <v>61</v>
      </c>
      <c r="D75" s="78"/>
      <c r="E75" s="79" t="s">
        <v>63</v>
      </c>
      <c r="F75" s="80">
        <v>46248</v>
      </c>
      <c r="G75" s="81" t="s">
        <v>59</v>
      </c>
      <c r="H75" s="81">
        <v>58</v>
      </c>
      <c r="I75" s="81">
        <v>0</v>
      </c>
      <c r="J75" s="81" t="s">
        <v>63</v>
      </c>
      <c r="K75" s="82">
        <v>162006437</v>
      </c>
      <c r="L75" s="83">
        <v>46248</v>
      </c>
      <c r="M75" s="84" t="s">
        <v>74</v>
      </c>
      <c r="N75" s="85">
        <v>16577</v>
      </c>
      <c r="O75" s="86"/>
      <c r="P75" s="86"/>
      <c r="Q75" s="86"/>
      <c r="R75" s="46">
        <v>5196.01</v>
      </c>
      <c r="S75" s="46">
        <v>1223.3100000000004</v>
      </c>
      <c r="T75" s="46">
        <f t="shared" ref="T75" si="43">+R75-S75</f>
        <v>3972.7</v>
      </c>
      <c r="U75" s="46">
        <v>3981.8</v>
      </c>
      <c r="V75" s="46"/>
      <c r="W75" s="46"/>
      <c r="X75" s="46">
        <v>3972.7</v>
      </c>
      <c r="Y75" s="46"/>
      <c r="Z75" s="46">
        <f>+T75-X75</f>
        <v>0</v>
      </c>
      <c r="AA75" s="39">
        <f>Z75/T75</f>
        <v>0</v>
      </c>
      <c r="AB75" s="73"/>
      <c r="AC75" s="73"/>
      <c r="AD75" s="73"/>
      <c r="AE75" s="39"/>
      <c r="AF75" s="74"/>
      <c r="AG75" s="74"/>
      <c r="AH75" s="75"/>
      <c r="AI75" s="75">
        <f t="shared" ref="AI75" si="44">+AG75+AH75</f>
        <v>0</v>
      </c>
      <c r="AJ75" s="87"/>
      <c r="AK75" s="87"/>
      <c r="AL75" s="87"/>
      <c r="AM75" s="88"/>
      <c r="AN75" s="88"/>
      <c r="AO75" s="88"/>
      <c r="AP75" s="89">
        <f t="shared" ref="AP75" si="45">ROUNDUP((AO75-AM75+(AO75&lt;AM75))*24,0)</f>
        <v>0</v>
      </c>
      <c r="AQ75" s="87">
        <f t="shared" ref="AQ75" si="46">IF(AP75&gt;5,(AP75-5),0)</f>
        <v>0</v>
      </c>
      <c r="AR75" s="87">
        <f t="shared" ref="AR75" si="47">+AQ75*8850</f>
        <v>0</v>
      </c>
      <c r="AS75" s="87"/>
      <c r="AT75" s="87"/>
      <c r="AU75" s="87"/>
      <c r="AV75" s="87"/>
      <c r="AW75" s="87"/>
      <c r="AX75" s="87"/>
      <c r="AY75" s="87"/>
      <c r="AZ75" s="90"/>
      <c r="BB75" s="92">
        <f>IF(AND(AB75="",AC75=""),T75,IF(AC75="",AB75,AC75))</f>
        <v>3972.7</v>
      </c>
      <c r="BC75" s="92">
        <f t="shared" si="42"/>
        <v>3972.7</v>
      </c>
      <c r="BD75" s="92"/>
      <c r="BE75" s="92">
        <f t="shared" ref="BE75" si="48">+BB75-BC75</f>
        <v>0</v>
      </c>
      <c r="BF75" s="39">
        <f t="shared" ref="BF75" si="49">+BE75/BB75</f>
        <v>0</v>
      </c>
    </row>
    <row r="76" spans="1:58" s="20" customFormat="1" ht="12.75" x14ac:dyDescent="0.2">
      <c r="A76" s="53">
        <f>IF(ISBLANK(F76),"",COUNTA($F$6:F76))</f>
        <v>71</v>
      </c>
      <c r="B76" s="54" t="s">
        <v>60</v>
      </c>
      <c r="C76" s="54" t="s">
        <v>61</v>
      </c>
      <c r="D76" s="55"/>
      <c r="E76" s="56" t="s">
        <v>65</v>
      </c>
      <c r="F76" s="57">
        <v>46248</v>
      </c>
      <c r="G76" s="58" t="s">
        <v>59</v>
      </c>
      <c r="H76" s="58">
        <v>58</v>
      </c>
      <c r="I76" s="58">
        <v>4</v>
      </c>
      <c r="J76" s="58" t="s">
        <v>67</v>
      </c>
      <c r="K76" s="59">
        <v>162011713</v>
      </c>
      <c r="L76" s="60">
        <v>46249</v>
      </c>
      <c r="M76" s="61"/>
      <c r="N76" s="62"/>
      <c r="O76" s="63"/>
      <c r="P76" s="63"/>
      <c r="Q76" s="63"/>
      <c r="R76" s="64"/>
      <c r="S76" s="64"/>
      <c r="T76" s="64">
        <f t="shared" si="8"/>
        <v>0</v>
      </c>
      <c r="U76" s="64"/>
      <c r="V76" s="64"/>
      <c r="W76" s="64"/>
      <c r="X76" s="64"/>
      <c r="Y76" s="64"/>
      <c r="Z76" s="64">
        <f>+T76-X76</f>
        <v>0</v>
      </c>
      <c r="AA76" s="65" t="e">
        <f>Z76/T76</f>
        <v>#DIV/0!</v>
      </c>
      <c r="AB76" s="66"/>
      <c r="AC76" s="66"/>
      <c r="AD76" s="66"/>
      <c r="AE76" s="65"/>
      <c r="AF76" s="67"/>
      <c r="AG76" s="67"/>
      <c r="AH76" s="68"/>
      <c r="AI76" s="68">
        <f t="shared" si="9"/>
        <v>0</v>
      </c>
      <c r="AJ76" s="69"/>
      <c r="AK76" s="69"/>
      <c r="AL76" s="69"/>
      <c r="AM76" s="70"/>
      <c r="AN76" s="70"/>
      <c r="AO76" s="70"/>
      <c r="AP76" s="71">
        <f t="shared" si="10"/>
        <v>0</v>
      </c>
      <c r="AQ76" s="69">
        <f t="shared" si="11"/>
        <v>0</v>
      </c>
      <c r="AR76" s="69">
        <f t="shared" si="12"/>
        <v>0</v>
      </c>
      <c r="AS76" s="69"/>
      <c r="AT76" s="69"/>
      <c r="AU76" s="69"/>
      <c r="AV76" s="69"/>
      <c r="AW76" s="69"/>
      <c r="AX76" s="69"/>
      <c r="AY76" s="69"/>
      <c r="AZ76" s="72"/>
      <c r="BB76" s="45">
        <f>IF(AND(AB76="",AC76=""),T76,IF(AC76="",AB76,AC76))</f>
        <v>0</v>
      </c>
      <c r="BC76" s="45">
        <f t="shared" si="42"/>
        <v>0</v>
      </c>
      <c r="BD76" s="45"/>
      <c r="BE76" s="45">
        <f t="shared" si="6"/>
        <v>0</v>
      </c>
      <c r="BF76" s="39" t="e">
        <f t="shared" si="7"/>
        <v>#DIV/0!</v>
      </c>
    </row>
    <row r="77" spans="1:58" s="91" customFormat="1" ht="12.75" x14ac:dyDescent="0.2">
      <c r="A77" s="76">
        <f>IF(ISBLANK(F77),"",COUNTA($F$6:F77))</f>
        <v>72</v>
      </c>
      <c r="B77" s="77" t="s">
        <v>60</v>
      </c>
      <c r="C77" s="77" t="s">
        <v>61</v>
      </c>
      <c r="D77" s="78"/>
      <c r="E77" s="79" t="s">
        <v>64</v>
      </c>
      <c r="F77" s="80">
        <v>46249</v>
      </c>
      <c r="G77" s="81" t="s">
        <v>59</v>
      </c>
      <c r="H77" s="81">
        <v>59</v>
      </c>
      <c r="I77" s="81">
        <v>5</v>
      </c>
      <c r="J77" s="81" t="s">
        <v>64</v>
      </c>
      <c r="K77" s="82">
        <v>162004401</v>
      </c>
      <c r="L77" s="83">
        <v>46249</v>
      </c>
      <c r="M77" s="84" t="s">
        <v>74</v>
      </c>
      <c r="N77" s="85">
        <v>16576</v>
      </c>
      <c r="O77" s="86"/>
      <c r="P77" s="86"/>
      <c r="Q77" s="86"/>
      <c r="R77" s="46">
        <v>4825.4799999999996</v>
      </c>
      <c r="S77" s="46">
        <v>1134.4799999999996</v>
      </c>
      <c r="T77" s="46">
        <f t="shared" si="8"/>
        <v>3691</v>
      </c>
      <c r="U77" s="46">
        <v>3708.2</v>
      </c>
      <c r="V77" s="46"/>
      <c r="W77" s="46"/>
      <c r="X77" s="46">
        <v>3691</v>
      </c>
      <c r="Y77" s="46"/>
      <c r="Z77" s="46">
        <f>+T77-X77</f>
        <v>0</v>
      </c>
      <c r="AA77" s="39">
        <f>Z77/T77</f>
        <v>0</v>
      </c>
      <c r="AB77" s="73">
        <v>3691</v>
      </c>
      <c r="AC77" s="73"/>
      <c r="AD77" s="73"/>
      <c r="AE77" s="39"/>
      <c r="AF77" s="74"/>
      <c r="AG77" s="74"/>
      <c r="AH77" s="75"/>
      <c r="AI77" s="75">
        <f t="shared" si="9"/>
        <v>0</v>
      </c>
      <c r="AJ77" s="87"/>
      <c r="AK77" s="87"/>
      <c r="AL77" s="87"/>
      <c r="AM77" s="88"/>
      <c r="AN77" s="88"/>
      <c r="AO77" s="88"/>
      <c r="AP77" s="89">
        <f t="shared" si="10"/>
        <v>0</v>
      </c>
      <c r="AQ77" s="87">
        <f t="shared" si="11"/>
        <v>0</v>
      </c>
      <c r="AR77" s="87">
        <f t="shared" si="12"/>
        <v>0</v>
      </c>
      <c r="AS77" s="87"/>
      <c r="AT77" s="87"/>
      <c r="AU77" s="87"/>
      <c r="AV77" s="87"/>
      <c r="AW77" s="87"/>
      <c r="AX77" s="87"/>
      <c r="AY77" s="87"/>
      <c r="AZ77" s="90"/>
      <c r="BB77" s="92">
        <f>IF(AND(AB77="",AC77=""),T77,IF(AC77="",AB77,AC77))</f>
        <v>3691</v>
      </c>
      <c r="BC77" s="92">
        <f t="shared" si="42"/>
        <v>3691</v>
      </c>
      <c r="BD77" s="92"/>
      <c r="BE77" s="92">
        <f t="shared" si="6"/>
        <v>0</v>
      </c>
      <c r="BF77" s="39">
        <f t="shared" si="7"/>
        <v>0</v>
      </c>
    </row>
    <row r="78" spans="1:58" s="20" customFormat="1" ht="12.75" x14ac:dyDescent="0.2">
      <c r="A78" s="53">
        <f>IF(ISBLANK(F78),"",COUNTA($F$6:F78))</f>
        <v>73</v>
      </c>
      <c r="B78" s="54" t="s">
        <v>60</v>
      </c>
      <c r="C78" s="54" t="s">
        <v>61</v>
      </c>
      <c r="D78" s="55"/>
      <c r="E78" s="56" t="s">
        <v>63</v>
      </c>
      <c r="F78" s="57">
        <v>46249</v>
      </c>
      <c r="G78" s="58" t="s">
        <v>59</v>
      </c>
      <c r="H78" s="58">
        <v>58</v>
      </c>
      <c r="I78" s="58">
        <v>1</v>
      </c>
      <c r="J78" s="58" t="s">
        <v>63</v>
      </c>
      <c r="K78" s="59">
        <v>162006441</v>
      </c>
      <c r="L78" s="60">
        <v>46249</v>
      </c>
      <c r="M78" s="61"/>
      <c r="N78" s="62"/>
      <c r="O78" s="63"/>
      <c r="P78" s="63"/>
      <c r="Q78" s="63"/>
      <c r="R78" s="64"/>
      <c r="S78" s="64"/>
      <c r="T78" s="64">
        <f t="shared" si="8"/>
        <v>0</v>
      </c>
      <c r="U78" s="64"/>
      <c r="V78" s="64"/>
      <c r="W78" s="64"/>
      <c r="X78" s="64"/>
      <c r="Y78" s="64"/>
      <c r="Z78" s="64">
        <f>+T78-X78</f>
        <v>0</v>
      </c>
      <c r="AA78" s="65" t="e">
        <f>Z78/T78</f>
        <v>#DIV/0!</v>
      </c>
      <c r="AB78" s="66"/>
      <c r="AC78" s="66"/>
      <c r="AD78" s="66"/>
      <c r="AE78" s="65"/>
      <c r="AF78" s="67"/>
      <c r="AG78" s="67"/>
      <c r="AH78" s="68"/>
      <c r="AI78" s="68">
        <f t="shared" si="9"/>
        <v>0</v>
      </c>
      <c r="AJ78" s="69"/>
      <c r="AK78" s="69"/>
      <c r="AL78" s="69"/>
      <c r="AM78" s="70"/>
      <c r="AN78" s="70"/>
      <c r="AO78" s="70"/>
      <c r="AP78" s="71">
        <f t="shared" si="10"/>
        <v>0</v>
      </c>
      <c r="AQ78" s="69">
        <f t="shared" si="11"/>
        <v>0</v>
      </c>
      <c r="AR78" s="69">
        <f t="shared" si="12"/>
        <v>0</v>
      </c>
      <c r="AS78" s="69"/>
      <c r="AT78" s="69"/>
      <c r="AU78" s="69"/>
      <c r="AV78" s="69"/>
      <c r="AW78" s="69"/>
      <c r="AX78" s="69"/>
      <c r="AY78" s="69"/>
      <c r="AZ78" s="72"/>
      <c r="BB78" s="45">
        <f>IF(AND(AB78="",AC78=""),T78,IF(AC78="",AB78,AC78))</f>
        <v>0</v>
      </c>
      <c r="BC78" s="45">
        <f t="shared" si="42"/>
        <v>0</v>
      </c>
      <c r="BD78" s="45"/>
      <c r="BE78" s="45">
        <f t="shared" ref="BE78:BE87" si="50">+BB78-BC78</f>
        <v>0</v>
      </c>
      <c r="BF78" s="39" t="e">
        <f t="shared" ref="BF78:BF87" si="51">+BE78/BB78</f>
        <v>#DIV/0!</v>
      </c>
    </row>
    <row r="79" spans="1:58" s="20" customFormat="1" ht="12.75" x14ac:dyDescent="0.2">
      <c r="A79" s="53">
        <f>IF(ISBLANK(F79),"",COUNTA($F$6:F79))</f>
        <v>74</v>
      </c>
      <c r="B79" s="54" t="s">
        <v>60</v>
      </c>
      <c r="C79" s="54" t="s">
        <v>61</v>
      </c>
      <c r="D79" s="55"/>
      <c r="E79" s="56" t="s">
        <v>65</v>
      </c>
      <c r="F79" s="57">
        <v>46249</v>
      </c>
      <c r="G79" s="58" t="s">
        <v>59</v>
      </c>
      <c r="H79" s="58">
        <v>58</v>
      </c>
      <c r="I79" s="58">
        <v>2</v>
      </c>
      <c r="J79" s="58" t="s">
        <v>67</v>
      </c>
      <c r="K79" s="59">
        <v>162011715</v>
      </c>
      <c r="L79" s="60">
        <v>46249</v>
      </c>
      <c r="M79" s="61"/>
      <c r="N79" s="62"/>
      <c r="O79" s="63"/>
      <c r="P79" s="63"/>
      <c r="Q79" s="63"/>
      <c r="R79" s="64"/>
      <c r="S79" s="64"/>
      <c r="T79" s="64">
        <f t="shared" si="8"/>
        <v>0</v>
      </c>
      <c r="U79" s="64"/>
      <c r="V79" s="64"/>
      <c r="W79" s="64"/>
      <c r="X79" s="64"/>
      <c r="Y79" s="64"/>
      <c r="Z79" s="64">
        <f>+T79-X79</f>
        <v>0</v>
      </c>
      <c r="AA79" s="65" t="e">
        <f>Z79/T79</f>
        <v>#DIV/0!</v>
      </c>
      <c r="AB79" s="66"/>
      <c r="AC79" s="66"/>
      <c r="AD79" s="66"/>
      <c r="AE79" s="65"/>
      <c r="AF79" s="67"/>
      <c r="AG79" s="67"/>
      <c r="AH79" s="68"/>
      <c r="AI79" s="68">
        <f t="shared" si="9"/>
        <v>0</v>
      </c>
      <c r="AJ79" s="69"/>
      <c r="AK79" s="69"/>
      <c r="AL79" s="69"/>
      <c r="AM79" s="70"/>
      <c r="AN79" s="70"/>
      <c r="AO79" s="70"/>
      <c r="AP79" s="71">
        <f t="shared" si="10"/>
        <v>0</v>
      </c>
      <c r="AQ79" s="69">
        <f t="shared" si="11"/>
        <v>0</v>
      </c>
      <c r="AR79" s="69">
        <f t="shared" si="12"/>
        <v>0</v>
      </c>
      <c r="AS79" s="69"/>
      <c r="AT79" s="69"/>
      <c r="AU79" s="69"/>
      <c r="AV79" s="69"/>
      <c r="AW79" s="69"/>
      <c r="AX79" s="69"/>
      <c r="AY79" s="69"/>
      <c r="AZ79" s="72"/>
      <c r="BB79" s="45">
        <f>IF(AND(AB79="",AC79=""),T79,IF(AC79="",AB79,AC79))</f>
        <v>0</v>
      </c>
      <c r="BC79" s="45">
        <f t="shared" si="42"/>
        <v>0</v>
      </c>
      <c r="BD79" s="45"/>
      <c r="BE79" s="45">
        <f t="shared" si="50"/>
        <v>0</v>
      </c>
      <c r="BF79" s="39" t="e">
        <f t="shared" si="51"/>
        <v>#DIV/0!</v>
      </c>
    </row>
    <row r="80" spans="1:58" s="20" customFormat="1" ht="12.75" x14ac:dyDescent="0.2">
      <c r="A80" s="53">
        <f>IF(ISBLANK(F80),"",COUNTA($F$6:F80))</f>
        <v>75</v>
      </c>
      <c r="B80" s="54" t="s">
        <v>60</v>
      </c>
      <c r="C80" s="54" t="s">
        <v>61</v>
      </c>
      <c r="D80" s="55"/>
      <c r="E80" s="56" t="s">
        <v>64</v>
      </c>
      <c r="F80" s="57">
        <v>46249</v>
      </c>
      <c r="G80" s="58" t="s">
        <v>59</v>
      </c>
      <c r="H80" s="58">
        <v>58</v>
      </c>
      <c r="I80" s="58">
        <v>1</v>
      </c>
      <c r="J80" s="58" t="s">
        <v>64</v>
      </c>
      <c r="K80" s="59">
        <v>162004402</v>
      </c>
      <c r="L80" s="60">
        <v>46249</v>
      </c>
      <c r="M80" s="61"/>
      <c r="N80" s="62"/>
      <c r="O80" s="63"/>
      <c r="P80" s="63"/>
      <c r="Q80" s="63"/>
      <c r="R80" s="64"/>
      <c r="S80" s="64"/>
      <c r="T80" s="64">
        <f t="shared" si="8"/>
        <v>0</v>
      </c>
      <c r="U80" s="64"/>
      <c r="V80" s="64"/>
      <c r="W80" s="64"/>
      <c r="X80" s="64"/>
      <c r="Y80" s="64"/>
      <c r="Z80" s="64">
        <f>+T80-X80</f>
        <v>0</v>
      </c>
      <c r="AA80" s="65" t="e">
        <f>Z80/T80</f>
        <v>#DIV/0!</v>
      </c>
      <c r="AB80" s="66"/>
      <c r="AC80" s="66"/>
      <c r="AD80" s="66"/>
      <c r="AE80" s="65"/>
      <c r="AF80" s="67"/>
      <c r="AG80" s="67"/>
      <c r="AH80" s="68"/>
      <c r="AI80" s="68">
        <f t="shared" si="9"/>
        <v>0</v>
      </c>
      <c r="AJ80" s="69"/>
      <c r="AK80" s="69"/>
      <c r="AL80" s="69"/>
      <c r="AM80" s="70"/>
      <c r="AN80" s="70"/>
      <c r="AO80" s="70"/>
      <c r="AP80" s="71">
        <f t="shared" si="10"/>
        <v>0</v>
      </c>
      <c r="AQ80" s="69">
        <f t="shared" si="11"/>
        <v>0</v>
      </c>
      <c r="AR80" s="69">
        <f t="shared" si="12"/>
        <v>0</v>
      </c>
      <c r="AS80" s="69"/>
      <c r="AT80" s="69"/>
      <c r="AU80" s="69"/>
      <c r="AV80" s="69"/>
      <c r="AW80" s="69"/>
      <c r="AX80" s="69"/>
      <c r="AY80" s="69"/>
      <c r="AZ80" s="72"/>
      <c r="BB80" s="45">
        <f>IF(AND(AB80="",AC80=""),T80,IF(AC80="",AB80,AC80))</f>
        <v>0</v>
      </c>
      <c r="BC80" s="45">
        <f t="shared" si="42"/>
        <v>0</v>
      </c>
      <c r="BD80" s="45"/>
      <c r="BE80" s="45">
        <f t="shared" si="50"/>
        <v>0</v>
      </c>
      <c r="BF80" s="39" t="e">
        <f t="shared" si="51"/>
        <v>#DIV/0!</v>
      </c>
    </row>
    <row r="81" spans="1:58" s="20" customFormat="1" ht="12.75" x14ac:dyDescent="0.2">
      <c r="A81" s="53">
        <f>IF(ISBLANK(F81),"",COUNTA($F$6:F81))</f>
        <v>76</v>
      </c>
      <c r="B81" s="54" t="s">
        <v>60</v>
      </c>
      <c r="C81" s="54" t="s">
        <v>61</v>
      </c>
      <c r="D81" s="55"/>
      <c r="E81" s="56" t="s">
        <v>64</v>
      </c>
      <c r="F81" s="57">
        <v>46250</v>
      </c>
      <c r="G81" s="58" t="s">
        <v>59</v>
      </c>
      <c r="H81" s="58">
        <v>59</v>
      </c>
      <c r="I81" s="58">
        <v>3</v>
      </c>
      <c r="J81" s="58" t="s">
        <v>64</v>
      </c>
      <c r="K81" s="59">
        <v>162004403</v>
      </c>
      <c r="L81" s="60">
        <v>46250</v>
      </c>
      <c r="M81" s="61"/>
      <c r="N81" s="62"/>
      <c r="O81" s="63"/>
      <c r="P81" s="63"/>
      <c r="Q81" s="63"/>
      <c r="R81" s="64"/>
      <c r="S81" s="64"/>
      <c r="T81" s="64">
        <f t="shared" si="8"/>
        <v>0</v>
      </c>
      <c r="U81" s="64"/>
      <c r="V81" s="64"/>
      <c r="W81" s="64"/>
      <c r="X81" s="64"/>
      <c r="Y81" s="64"/>
      <c r="Z81" s="64">
        <f>+T81-X81</f>
        <v>0</v>
      </c>
      <c r="AA81" s="65" t="e">
        <f>Z81/T81</f>
        <v>#DIV/0!</v>
      </c>
      <c r="AB81" s="66"/>
      <c r="AC81" s="66"/>
      <c r="AD81" s="66"/>
      <c r="AE81" s="65"/>
      <c r="AF81" s="67"/>
      <c r="AG81" s="67"/>
      <c r="AH81" s="68"/>
      <c r="AI81" s="68">
        <f t="shared" si="9"/>
        <v>0</v>
      </c>
      <c r="AJ81" s="69"/>
      <c r="AK81" s="69"/>
      <c r="AL81" s="69"/>
      <c r="AM81" s="70"/>
      <c r="AN81" s="70"/>
      <c r="AO81" s="70"/>
      <c r="AP81" s="71">
        <f t="shared" si="10"/>
        <v>0</v>
      </c>
      <c r="AQ81" s="69">
        <f t="shared" si="11"/>
        <v>0</v>
      </c>
      <c r="AR81" s="69">
        <f t="shared" si="12"/>
        <v>0</v>
      </c>
      <c r="AS81" s="69"/>
      <c r="AT81" s="69"/>
      <c r="AU81" s="69"/>
      <c r="AV81" s="69"/>
      <c r="AW81" s="69"/>
      <c r="AX81" s="69"/>
      <c r="AY81" s="69"/>
      <c r="AZ81" s="72"/>
      <c r="BB81" s="45">
        <f>IF(AND(AB81="",AC81=""),T81,IF(AC81="",AB81,AC81))</f>
        <v>0</v>
      </c>
      <c r="BC81" s="45">
        <f t="shared" si="42"/>
        <v>0</v>
      </c>
      <c r="BD81" s="45"/>
      <c r="BE81" s="45">
        <f t="shared" si="50"/>
        <v>0</v>
      </c>
      <c r="BF81" s="39" t="e">
        <f t="shared" si="51"/>
        <v>#DIV/0!</v>
      </c>
    </row>
    <row r="82" spans="1:58" s="20" customFormat="1" ht="12.75" x14ac:dyDescent="0.2">
      <c r="A82" s="21" t="str">
        <f>IF(ISBLANK(F82),"",COUNTA($F$6:F82))</f>
        <v/>
      </c>
      <c r="B82" s="37" t="s">
        <v>60</v>
      </c>
      <c r="C82" s="37" t="s">
        <v>61</v>
      </c>
      <c r="D82" s="22"/>
      <c r="E82" s="23"/>
      <c r="F82" s="36"/>
      <c r="G82" s="24"/>
      <c r="H82" s="24"/>
      <c r="I82" s="24"/>
      <c r="J82" s="24"/>
      <c r="K82" s="25"/>
      <c r="L82" s="26"/>
      <c r="M82" s="38"/>
      <c r="N82" s="52"/>
      <c r="O82" s="27"/>
      <c r="P82" s="27"/>
      <c r="Q82" s="27"/>
      <c r="R82" s="28"/>
      <c r="S82" s="28"/>
      <c r="T82" s="46">
        <f t="shared" si="8"/>
        <v>0</v>
      </c>
      <c r="U82" s="28"/>
      <c r="V82" s="28"/>
      <c r="W82" s="28"/>
      <c r="X82" s="28"/>
      <c r="Y82" s="28"/>
      <c r="Z82" s="28">
        <f>+T82-X82</f>
        <v>0</v>
      </c>
      <c r="AA82" s="29" t="e">
        <f>Z82/T82</f>
        <v>#DIV/0!</v>
      </c>
      <c r="AB82" s="40"/>
      <c r="AC82" s="40"/>
      <c r="AD82" s="40"/>
      <c r="AE82" s="29"/>
      <c r="AF82" s="30"/>
      <c r="AG82" s="30"/>
      <c r="AH82" s="31"/>
      <c r="AI82" s="31">
        <f t="shared" si="9"/>
        <v>0</v>
      </c>
      <c r="AJ82" s="32"/>
      <c r="AK82" s="32"/>
      <c r="AL82" s="32"/>
      <c r="AM82" s="33"/>
      <c r="AN82" s="33"/>
      <c r="AO82" s="33"/>
      <c r="AP82" s="34">
        <f t="shared" si="10"/>
        <v>0</v>
      </c>
      <c r="AQ82" s="32">
        <f t="shared" si="11"/>
        <v>0</v>
      </c>
      <c r="AR82" s="32">
        <f t="shared" si="12"/>
        <v>0</v>
      </c>
      <c r="AS82" s="32"/>
      <c r="AT82" s="32"/>
      <c r="AU82" s="32"/>
      <c r="AV82" s="32"/>
      <c r="AW82" s="32"/>
      <c r="AX82" s="32"/>
      <c r="AY82" s="32"/>
      <c r="AZ82" s="35"/>
      <c r="BB82" s="45">
        <f>IF(AND(AB82="",AC82=""),T82,IF(AC82="",AB82,AC82))</f>
        <v>0</v>
      </c>
      <c r="BC82" s="45">
        <f t="shared" si="42"/>
        <v>0</v>
      </c>
      <c r="BD82" s="45"/>
      <c r="BE82" s="45">
        <f t="shared" si="50"/>
        <v>0</v>
      </c>
      <c r="BF82" s="39" t="e">
        <f t="shared" si="51"/>
        <v>#DIV/0!</v>
      </c>
    </row>
    <row r="83" spans="1:58" s="20" customFormat="1" ht="12.75" x14ac:dyDescent="0.2">
      <c r="A83" s="21" t="str">
        <f>IF(ISBLANK(F83),"",COUNTA($F$6:F83))</f>
        <v/>
      </c>
      <c r="B83" s="37" t="s">
        <v>60</v>
      </c>
      <c r="C83" s="37" t="s">
        <v>61</v>
      </c>
      <c r="D83" s="22"/>
      <c r="E83" s="23"/>
      <c r="F83" s="36"/>
      <c r="G83" s="24"/>
      <c r="H83" s="24"/>
      <c r="I83" s="24"/>
      <c r="J83" s="24"/>
      <c r="K83" s="25"/>
      <c r="L83" s="26"/>
      <c r="M83" s="38"/>
      <c r="N83" s="52"/>
      <c r="O83" s="27"/>
      <c r="P83" s="27"/>
      <c r="Q83" s="27"/>
      <c r="R83" s="28"/>
      <c r="S83" s="28"/>
      <c r="T83" s="46">
        <f t="shared" si="8"/>
        <v>0</v>
      </c>
      <c r="U83" s="28"/>
      <c r="V83" s="28"/>
      <c r="W83" s="28"/>
      <c r="X83" s="28"/>
      <c r="Y83" s="28"/>
      <c r="Z83" s="28">
        <f>+T83-X83</f>
        <v>0</v>
      </c>
      <c r="AA83" s="29" t="e">
        <f>Z83/T83</f>
        <v>#DIV/0!</v>
      </c>
      <c r="AB83" s="40"/>
      <c r="AC83" s="40"/>
      <c r="AD83" s="40"/>
      <c r="AE83" s="29"/>
      <c r="AF83" s="30"/>
      <c r="AG83" s="30"/>
      <c r="AH83" s="31"/>
      <c r="AI83" s="31">
        <f t="shared" si="9"/>
        <v>0</v>
      </c>
      <c r="AJ83" s="32"/>
      <c r="AK83" s="32"/>
      <c r="AL83" s="32"/>
      <c r="AM83" s="33"/>
      <c r="AN83" s="33"/>
      <c r="AO83" s="33"/>
      <c r="AP83" s="34">
        <f t="shared" si="10"/>
        <v>0</v>
      </c>
      <c r="AQ83" s="32">
        <f t="shared" si="11"/>
        <v>0</v>
      </c>
      <c r="AR83" s="32">
        <f t="shared" si="12"/>
        <v>0</v>
      </c>
      <c r="AS83" s="32"/>
      <c r="AT83" s="32"/>
      <c r="AU83" s="32"/>
      <c r="AV83" s="32"/>
      <c r="AW83" s="32"/>
      <c r="AX83" s="32"/>
      <c r="AY83" s="32"/>
      <c r="AZ83" s="35"/>
      <c r="BB83" s="45">
        <f>IF(AND(AB83="",AC83=""),T83,IF(AC83="",AB83,AC83))</f>
        <v>0</v>
      </c>
      <c r="BC83" s="45">
        <f t="shared" si="42"/>
        <v>0</v>
      </c>
      <c r="BD83" s="45"/>
      <c r="BE83" s="45">
        <f t="shared" si="50"/>
        <v>0</v>
      </c>
      <c r="BF83" s="39" t="e">
        <f t="shared" si="51"/>
        <v>#DIV/0!</v>
      </c>
    </row>
    <row r="84" spans="1:58" s="20" customFormat="1" ht="12.75" x14ac:dyDescent="0.2">
      <c r="A84" s="21" t="str">
        <f>IF(ISBLANK(F84),"",COUNTA($F$6:F84))</f>
        <v/>
      </c>
      <c r="B84" s="37" t="s">
        <v>60</v>
      </c>
      <c r="C84" s="37" t="s">
        <v>61</v>
      </c>
      <c r="D84" s="22"/>
      <c r="E84" s="23"/>
      <c r="F84" s="36"/>
      <c r="G84" s="24"/>
      <c r="H84" s="24"/>
      <c r="I84" s="24"/>
      <c r="J84" s="24"/>
      <c r="K84" s="25"/>
      <c r="L84" s="26"/>
      <c r="M84" s="38"/>
      <c r="N84" s="52"/>
      <c r="O84" s="27"/>
      <c r="P84" s="27"/>
      <c r="Q84" s="27"/>
      <c r="R84" s="28"/>
      <c r="S84" s="28"/>
      <c r="T84" s="46">
        <f t="shared" si="8"/>
        <v>0</v>
      </c>
      <c r="U84" s="28"/>
      <c r="V84" s="28"/>
      <c r="W84" s="28"/>
      <c r="X84" s="28"/>
      <c r="Y84" s="28"/>
      <c r="Z84" s="28">
        <f>+T84-X84</f>
        <v>0</v>
      </c>
      <c r="AA84" s="29" t="e">
        <f>Z84/T84</f>
        <v>#DIV/0!</v>
      </c>
      <c r="AB84" s="40"/>
      <c r="AC84" s="40"/>
      <c r="AD84" s="40"/>
      <c r="AE84" s="29"/>
      <c r="AF84" s="30"/>
      <c r="AG84" s="30"/>
      <c r="AH84" s="31"/>
      <c r="AI84" s="31">
        <f t="shared" si="9"/>
        <v>0</v>
      </c>
      <c r="AJ84" s="32"/>
      <c r="AK84" s="32"/>
      <c r="AL84" s="32"/>
      <c r="AM84" s="33"/>
      <c r="AN84" s="33"/>
      <c r="AO84" s="33"/>
      <c r="AP84" s="34">
        <f t="shared" si="10"/>
        <v>0</v>
      </c>
      <c r="AQ84" s="32">
        <f t="shared" si="11"/>
        <v>0</v>
      </c>
      <c r="AR84" s="32">
        <f t="shared" si="12"/>
        <v>0</v>
      </c>
      <c r="AS84" s="32"/>
      <c r="AT84" s="32"/>
      <c r="AU84" s="32"/>
      <c r="AV84" s="32"/>
      <c r="AW84" s="32"/>
      <c r="AX84" s="32"/>
      <c r="AY84" s="32"/>
      <c r="AZ84" s="35"/>
      <c r="BB84" s="45">
        <f>IF(AND(AB84="",AC84=""),T84,IF(AC84="",AB84,AC84))</f>
        <v>0</v>
      </c>
      <c r="BC84" s="45">
        <f t="shared" si="42"/>
        <v>0</v>
      </c>
      <c r="BD84" s="45"/>
      <c r="BE84" s="45">
        <f t="shared" si="50"/>
        <v>0</v>
      </c>
      <c r="BF84" s="39" t="e">
        <f t="shared" si="51"/>
        <v>#DIV/0!</v>
      </c>
    </row>
    <row r="85" spans="1:58" s="20" customFormat="1" ht="12.75" x14ac:dyDescent="0.2">
      <c r="A85" s="21" t="str">
        <f>IF(ISBLANK(F85),"",COUNTA($F$6:F85))</f>
        <v/>
      </c>
      <c r="B85" s="37" t="s">
        <v>60</v>
      </c>
      <c r="C85" s="37" t="s">
        <v>61</v>
      </c>
      <c r="D85" s="22"/>
      <c r="E85" s="23"/>
      <c r="F85" s="36"/>
      <c r="G85" s="24"/>
      <c r="H85" s="24"/>
      <c r="I85" s="24"/>
      <c r="J85" s="24"/>
      <c r="K85" s="25"/>
      <c r="L85" s="26"/>
      <c r="M85" s="38"/>
      <c r="N85" s="52"/>
      <c r="O85" s="27"/>
      <c r="P85" s="27"/>
      <c r="Q85" s="27"/>
      <c r="R85" s="28"/>
      <c r="S85" s="28"/>
      <c r="T85" s="46">
        <f t="shared" si="8"/>
        <v>0</v>
      </c>
      <c r="U85" s="28"/>
      <c r="V85" s="28"/>
      <c r="W85" s="28"/>
      <c r="X85" s="28"/>
      <c r="Y85" s="28"/>
      <c r="Z85" s="28">
        <f>+T85-X85</f>
        <v>0</v>
      </c>
      <c r="AA85" s="29" t="e">
        <f>Z85/T85</f>
        <v>#DIV/0!</v>
      </c>
      <c r="AB85" s="40"/>
      <c r="AC85" s="40"/>
      <c r="AD85" s="40"/>
      <c r="AE85" s="29"/>
      <c r="AF85" s="30"/>
      <c r="AG85" s="30"/>
      <c r="AH85" s="31"/>
      <c r="AI85" s="31">
        <f t="shared" si="9"/>
        <v>0</v>
      </c>
      <c r="AJ85" s="32"/>
      <c r="AK85" s="32"/>
      <c r="AL85" s="32"/>
      <c r="AM85" s="33"/>
      <c r="AN85" s="33"/>
      <c r="AO85" s="33"/>
      <c r="AP85" s="34">
        <f t="shared" si="10"/>
        <v>0</v>
      </c>
      <c r="AQ85" s="32">
        <f t="shared" si="11"/>
        <v>0</v>
      </c>
      <c r="AR85" s="32">
        <f t="shared" si="12"/>
        <v>0</v>
      </c>
      <c r="AS85" s="32"/>
      <c r="AT85" s="32"/>
      <c r="AU85" s="32"/>
      <c r="AV85" s="32"/>
      <c r="AW85" s="32"/>
      <c r="AX85" s="32"/>
      <c r="AY85" s="32"/>
      <c r="AZ85" s="35"/>
      <c r="BB85" s="45">
        <f>IF(AND(AB85="",AC85=""),T85,IF(AC85="",AB85,AC85))</f>
        <v>0</v>
      </c>
      <c r="BC85" s="45">
        <f t="shared" si="42"/>
        <v>0</v>
      </c>
      <c r="BD85" s="45"/>
      <c r="BE85" s="45">
        <f t="shared" si="50"/>
        <v>0</v>
      </c>
      <c r="BF85" s="39" t="e">
        <f t="shared" si="51"/>
        <v>#DIV/0!</v>
      </c>
    </row>
    <row r="86" spans="1:58" s="20" customFormat="1" ht="12.75" x14ac:dyDescent="0.2">
      <c r="A86" s="21" t="str">
        <f>IF(ISBLANK(F86),"",COUNTA($F$6:F86))</f>
        <v/>
      </c>
      <c r="B86" s="37" t="s">
        <v>60</v>
      </c>
      <c r="C86" s="37" t="s">
        <v>61</v>
      </c>
      <c r="D86" s="22"/>
      <c r="E86" s="23"/>
      <c r="F86" s="36"/>
      <c r="G86" s="24"/>
      <c r="H86" s="24"/>
      <c r="I86" s="24"/>
      <c r="J86" s="24"/>
      <c r="K86" s="25"/>
      <c r="L86" s="26"/>
      <c r="M86" s="38"/>
      <c r="N86" s="52"/>
      <c r="O86" s="27"/>
      <c r="P86" s="27"/>
      <c r="Q86" s="27"/>
      <c r="R86" s="28"/>
      <c r="S86" s="28"/>
      <c r="T86" s="46">
        <f t="shared" si="8"/>
        <v>0</v>
      </c>
      <c r="U86" s="28"/>
      <c r="V86" s="28"/>
      <c r="W86" s="28"/>
      <c r="X86" s="28"/>
      <c r="Y86" s="28"/>
      <c r="Z86" s="28">
        <f>+T86-X86</f>
        <v>0</v>
      </c>
      <c r="AA86" s="29" t="e">
        <f>Z86/T86</f>
        <v>#DIV/0!</v>
      </c>
      <c r="AB86" s="40"/>
      <c r="AC86" s="40"/>
      <c r="AD86" s="40"/>
      <c r="AE86" s="29"/>
      <c r="AF86" s="30"/>
      <c r="AG86" s="30"/>
      <c r="AH86" s="31"/>
      <c r="AI86" s="31">
        <f t="shared" si="9"/>
        <v>0</v>
      </c>
      <c r="AJ86" s="32"/>
      <c r="AK86" s="32"/>
      <c r="AL86" s="32"/>
      <c r="AM86" s="33"/>
      <c r="AN86" s="33"/>
      <c r="AO86" s="33"/>
      <c r="AP86" s="34">
        <f t="shared" si="10"/>
        <v>0</v>
      </c>
      <c r="AQ86" s="32">
        <f t="shared" si="11"/>
        <v>0</v>
      </c>
      <c r="AR86" s="32">
        <f t="shared" si="12"/>
        <v>0</v>
      </c>
      <c r="AS86" s="32"/>
      <c r="AT86" s="32"/>
      <c r="AU86" s="32"/>
      <c r="AV86" s="32"/>
      <c r="AW86" s="32"/>
      <c r="AX86" s="32"/>
      <c r="AY86" s="32"/>
      <c r="AZ86" s="35"/>
      <c r="BB86" s="45">
        <f>IF(AND(AB86="",AC86=""),T86,IF(AC86="",AB86,AC86))</f>
        <v>0</v>
      </c>
      <c r="BC86" s="45">
        <f t="shared" si="42"/>
        <v>0</v>
      </c>
      <c r="BD86" s="45"/>
      <c r="BE86" s="45">
        <f t="shared" si="50"/>
        <v>0</v>
      </c>
      <c r="BF86" s="39" t="e">
        <f t="shared" si="51"/>
        <v>#DIV/0!</v>
      </c>
    </row>
    <row r="87" spans="1:58" s="20" customFormat="1" ht="12.75" x14ac:dyDescent="0.2">
      <c r="A87" s="21" t="str">
        <f>IF(ISBLANK(F87),"",COUNTA($F$6:F87))</f>
        <v/>
      </c>
      <c r="B87" s="37" t="s">
        <v>60</v>
      </c>
      <c r="C87" s="37" t="s">
        <v>61</v>
      </c>
      <c r="D87" s="22"/>
      <c r="E87" s="23"/>
      <c r="F87" s="36"/>
      <c r="G87" s="24"/>
      <c r="H87" s="24"/>
      <c r="I87" s="24"/>
      <c r="J87" s="24"/>
      <c r="K87" s="25"/>
      <c r="L87" s="26"/>
      <c r="M87" s="38"/>
      <c r="N87" s="52"/>
      <c r="O87" s="27"/>
      <c r="P87" s="27"/>
      <c r="Q87" s="27"/>
      <c r="R87" s="28"/>
      <c r="S87" s="28"/>
      <c r="T87" s="46">
        <f t="shared" ref="T87" si="52">+R87-S87</f>
        <v>0</v>
      </c>
      <c r="U87" s="28"/>
      <c r="V87" s="28"/>
      <c r="W87" s="28"/>
      <c r="X87" s="28"/>
      <c r="Y87" s="28"/>
      <c r="Z87" s="28">
        <f>+T87-X87</f>
        <v>0</v>
      </c>
      <c r="AA87" s="29" t="e">
        <f>Z87/T87</f>
        <v>#DIV/0!</v>
      </c>
      <c r="AB87" s="40"/>
      <c r="AC87" s="40"/>
      <c r="AD87" s="40"/>
      <c r="AE87" s="29"/>
      <c r="AF87" s="30"/>
      <c r="AG87" s="30"/>
      <c r="AH87" s="31"/>
      <c r="AI87" s="31">
        <f t="shared" ref="AI87" si="53">+AG87+AH87</f>
        <v>0</v>
      </c>
      <c r="AJ87" s="32"/>
      <c r="AK87" s="32"/>
      <c r="AL87" s="32"/>
      <c r="AM87" s="33"/>
      <c r="AN87" s="33"/>
      <c r="AO87" s="33"/>
      <c r="AP87" s="34">
        <f t="shared" ref="AP87" si="54">ROUNDUP((AO87-AM87+(AO87&lt;AM87))*24,0)</f>
        <v>0</v>
      </c>
      <c r="AQ87" s="32">
        <f t="shared" ref="AQ87" si="55">IF(AP87&gt;5,(AP87-5),0)</f>
        <v>0</v>
      </c>
      <c r="AR87" s="32">
        <f t="shared" ref="AR87" si="56">+AQ87*8850</f>
        <v>0</v>
      </c>
      <c r="AS87" s="32"/>
      <c r="AT87" s="32"/>
      <c r="AU87" s="32"/>
      <c r="AV87" s="32"/>
      <c r="AW87" s="32"/>
      <c r="AX87" s="32"/>
      <c r="AY87" s="32"/>
      <c r="AZ87" s="35"/>
      <c r="BB87" s="45">
        <f>IF(AND(AB87="",AC87=""),T87,IF(AC87="",AB87,AC87))</f>
        <v>0</v>
      </c>
      <c r="BC87" s="45">
        <f t="shared" si="42"/>
        <v>0</v>
      </c>
      <c r="BD87" s="45"/>
      <c r="BE87" s="45">
        <f t="shared" si="50"/>
        <v>0</v>
      </c>
      <c r="BF87" s="39" t="e">
        <f t="shared" si="51"/>
        <v>#DIV/0!</v>
      </c>
    </row>
    <row r="88" spans="1:58" s="20" customFormat="1" ht="12.75" x14ac:dyDescent="0.2">
      <c r="A88" s="21" t="str">
        <f>IF(ISBLANK(F88),"",COUNTA($F$6:F88))</f>
        <v/>
      </c>
      <c r="B88" s="37" t="s">
        <v>60</v>
      </c>
      <c r="C88" s="37" t="s">
        <v>61</v>
      </c>
      <c r="D88" s="22"/>
      <c r="E88" s="23"/>
      <c r="F88" s="36"/>
      <c r="G88" s="24"/>
      <c r="H88" s="24"/>
      <c r="I88" s="24"/>
      <c r="J88" s="24"/>
      <c r="K88" s="25"/>
      <c r="L88" s="26"/>
      <c r="M88" s="38"/>
      <c r="N88" s="52"/>
      <c r="O88" s="27"/>
      <c r="P88" s="27"/>
      <c r="Q88" s="27"/>
      <c r="R88" s="28"/>
      <c r="S88" s="28"/>
      <c r="T88" s="46">
        <f t="shared" si="0"/>
        <v>0</v>
      </c>
      <c r="U88" s="28"/>
      <c r="V88" s="28"/>
      <c r="W88" s="28"/>
      <c r="X88" s="28"/>
      <c r="Y88" s="28"/>
      <c r="Z88" s="28">
        <f>+T88-X88</f>
        <v>0</v>
      </c>
      <c r="AA88" s="29" t="e">
        <f>Z88/T88</f>
        <v>#DIV/0!</v>
      </c>
      <c r="AB88" s="40"/>
      <c r="AC88" s="40"/>
      <c r="AD88" s="40"/>
      <c r="AE88" s="29"/>
      <c r="AF88" s="30"/>
      <c r="AG88" s="30"/>
      <c r="AH88" s="31"/>
      <c r="AI88" s="31">
        <f t="shared" si="1"/>
        <v>0</v>
      </c>
      <c r="AJ88" s="32"/>
      <c r="AK88" s="32"/>
      <c r="AL88" s="32"/>
      <c r="AM88" s="33"/>
      <c r="AN88" s="33"/>
      <c r="AO88" s="33"/>
      <c r="AP88" s="34">
        <f t="shared" si="2"/>
        <v>0</v>
      </c>
      <c r="AQ88" s="32">
        <f t="shared" si="3"/>
        <v>0</v>
      </c>
      <c r="AR88" s="32">
        <f t="shared" si="4"/>
        <v>0</v>
      </c>
      <c r="AS88" s="32"/>
      <c r="AT88" s="32"/>
      <c r="AU88" s="32"/>
      <c r="AV88" s="32"/>
      <c r="AW88" s="32"/>
      <c r="AX88" s="32"/>
      <c r="AY88" s="32"/>
      <c r="AZ88" s="35"/>
      <c r="BB88" s="45">
        <f>IF(AND(AB88="",AC88=""),T88,IF(AC88="",AB88,AC88))</f>
        <v>0</v>
      </c>
      <c r="BC88" s="45">
        <f t="shared" si="42"/>
        <v>0</v>
      </c>
      <c r="BD88" s="45"/>
      <c r="BE88" s="45">
        <f t="shared" ref="BE88:BE89" si="57">+BB88-BC88</f>
        <v>0</v>
      </c>
      <c r="BF88" s="39" t="e">
        <f t="shared" ref="BF88:BF90" si="58">+BE88/BB88</f>
        <v>#DIV/0!</v>
      </c>
    </row>
    <row r="89" spans="1:58" s="20" customFormat="1" ht="12.75" x14ac:dyDescent="0.2">
      <c r="A89" s="21" t="str">
        <f>IF(ISBLANK(F89),"",COUNTA($F$6:F89))</f>
        <v/>
      </c>
      <c r="B89" s="37" t="s">
        <v>60</v>
      </c>
      <c r="C89" s="37" t="s">
        <v>61</v>
      </c>
      <c r="D89" s="22"/>
      <c r="E89" s="23"/>
      <c r="F89" s="36"/>
      <c r="G89" s="24"/>
      <c r="H89" s="24"/>
      <c r="I89" s="24"/>
      <c r="J89" s="24"/>
      <c r="K89" s="25"/>
      <c r="L89" s="26"/>
      <c r="M89" s="38"/>
      <c r="N89" s="52"/>
      <c r="O89" s="27"/>
      <c r="P89" s="27"/>
      <c r="Q89" s="27"/>
      <c r="R89" s="28"/>
      <c r="S89" s="28"/>
      <c r="T89" s="46">
        <f t="shared" si="0"/>
        <v>0</v>
      </c>
      <c r="U89" s="28"/>
      <c r="V89" s="28"/>
      <c r="W89" s="28"/>
      <c r="X89" s="28"/>
      <c r="Y89" s="28"/>
      <c r="Z89" s="28">
        <f>+T89-X89</f>
        <v>0</v>
      </c>
      <c r="AA89" s="29" t="e">
        <f>Z89/T89</f>
        <v>#DIV/0!</v>
      </c>
      <c r="AB89" s="40"/>
      <c r="AC89" s="40"/>
      <c r="AD89" s="40"/>
      <c r="AE89" s="29"/>
      <c r="AF89" s="30"/>
      <c r="AG89" s="30"/>
      <c r="AH89" s="31"/>
      <c r="AI89" s="31">
        <f t="shared" si="1"/>
        <v>0</v>
      </c>
      <c r="AJ89" s="32"/>
      <c r="AK89" s="32"/>
      <c r="AL89" s="32"/>
      <c r="AM89" s="33"/>
      <c r="AN89" s="33"/>
      <c r="AO89" s="33"/>
      <c r="AP89" s="34">
        <f t="shared" si="2"/>
        <v>0</v>
      </c>
      <c r="AQ89" s="32">
        <f t="shared" si="3"/>
        <v>0</v>
      </c>
      <c r="AR89" s="32">
        <f t="shared" si="4"/>
        <v>0</v>
      </c>
      <c r="AS89" s="32"/>
      <c r="AT89" s="32"/>
      <c r="AU89" s="32"/>
      <c r="AV89" s="32"/>
      <c r="AW89" s="32"/>
      <c r="AX89" s="32"/>
      <c r="AY89" s="32"/>
      <c r="AZ89" s="35"/>
      <c r="BB89" s="45">
        <f>IF(AND(AB89="",AC89=""),T89,IF(AC89="",AB89,AC89))</f>
        <v>0</v>
      </c>
      <c r="BC89" s="45">
        <f t="shared" si="42"/>
        <v>0</v>
      </c>
      <c r="BD89" s="45"/>
      <c r="BE89" s="45">
        <f t="shared" si="57"/>
        <v>0</v>
      </c>
      <c r="BF89" s="39" t="e">
        <f t="shared" si="58"/>
        <v>#DIV/0!</v>
      </c>
    </row>
    <row r="90" spans="1:58" ht="15.75" thickBot="1" x14ac:dyDescent="0.3">
      <c r="A90" s="9">
        <f>+COUNT(A6:A89)</f>
        <v>76</v>
      </c>
      <c r="B90" s="10">
        <f>+COUNTIF(X6:X89,"&gt;0")</f>
        <v>71</v>
      </c>
      <c r="C90" s="10"/>
      <c r="D90" s="10"/>
      <c r="E90" s="10"/>
      <c r="F90" s="10"/>
      <c r="G90" s="10"/>
      <c r="H90" s="10"/>
      <c r="I90" s="10"/>
      <c r="J90" s="10"/>
      <c r="K90" s="10"/>
      <c r="L90" s="11"/>
      <c r="M90" s="10"/>
      <c r="N90" s="10"/>
      <c r="O90" s="10"/>
      <c r="P90" s="10"/>
      <c r="Q90" s="10"/>
      <c r="R90" s="12">
        <f t="shared" ref="R90:Y90" si="59">SUM(R6:R89)</f>
        <v>356313.55999999994</v>
      </c>
      <c r="S90" s="12">
        <f t="shared" si="59"/>
        <v>83241.859999999971</v>
      </c>
      <c r="T90" s="12">
        <f t="shared" si="59"/>
        <v>273071.7</v>
      </c>
      <c r="U90" s="12">
        <f t="shared" si="59"/>
        <v>274463.5</v>
      </c>
      <c r="V90" s="12">
        <f t="shared" si="59"/>
        <v>0</v>
      </c>
      <c r="W90" s="12">
        <f t="shared" si="59"/>
        <v>0</v>
      </c>
      <c r="X90" s="12">
        <f t="shared" si="59"/>
        <v>271555.30000000005</v>
      </c>
      <c r="Y90" s="12">
        <f t="shared" si="59"/>
        <v>0</v>
      </c>
      <c r="Z90" s="12">
        <f>T90-X90</f>
        <v>1516.3999999999651</v>
      </c>
      <c r="AA90" s="13">
        <f>Z90/T90</f>
        <v>5.5531202977092279E-3</v>
      </c>
      <c r="AB90" s="41"/>
      <c r="AC90" s="41"/>
      <c r="AD90" s="41"/>
      <c r="AE90" s="13"/>
      <c r="AF90" s="12">
        <f>SUM(AF6:AF89)</f>
        <v>0</v>
      </c>
      <c r="AG90" s="12">
        <f>SUM(AG6:AG89)</f>
        <v>0</v>
      </c>
      <c r="AH90" s="12">
        <f>SUM(AH6:AH89)</f>
        <v>0</v>
      </c>
      <c r="AI90" s="12">
        <f>SUM(AI6:AI89)</f>
        <v>0</v>
      </c>
      <c r="AJ90" s="14"/>
      <c r="AK90" s="14"/>
      <c r="AL90" s="12"/>
      <c r="AM90" s="15"/>
      <c r="AN90" s="16"/>
      <c r="AO90" s="16"/>
      <c r="AP90" s="17"/>
      <c r="AQ90" s="10">
        <f>SUM(AQ6:AQ89)</f>
        <v>0</v>
      </c>
      <c r="AR90" s="18">
        <f>SUM(AR6:AR89)</f>
        <v>0</v>
      </c>
      <c r="AS90" s="10">
        <f>SUM(AS6:AS89)</f>
        <v>0</v>
      </c>
      <c r="AT90" s="10">
        <f>SUM(AT6:AT89)</f>
        <v>0</v>
      </c>
      <c r="AU90" s="10">
        <f>SUM(AU6:AU89)</f>
        <v>0</v>
      </c>
      <c r="AV90" s="10">
        <f>+SUM(AV6:AV89)</f>
        <v>0</v>
      </c>
      <c r="AW90" s="10">
        <f>SUM(AW6:AW89)</f>
        <v>0</v>
      </c>
      <c r="AX90" s="10">
        <f>SUM(AX6:AX89)</f>
        <v>0</v>
      </c>
      <c r="AY90" s="10">
        <f>SUM(AY6:AY89)</f>
        <v>0</v>
      </c>
      <c r="AZ90" s="19"/>
      <c r="BB90" s="42">
        <f>SUM(BB6:BB89)</f>
        <v>273872.05000000005</v>
      </c>
      <c r="BC90" s="42">
        <f>SUM(BC6:BC89)</f>
        <v>271555.30000000005</v>
      </c>
      <c r="BD90" s="42">
        <f>SUM(BD6:BD89)</f>
        <v>0</v>
      </c>
      <c r="BE90" s="42">
        <f>SUM(BE6:BE89)</f>
        <v>2316.7499999999982</v>
      </c>
      <c r="BF90" s="43">
        <f t="shared" si="58"/>
        <v>8.4592421899204306E-3</v>
      </c>
    </row>
  </sheetData>
  <conditionalFormatting sqref="K6:K12">
    <cfRule type="duplicateValues" dxfId="49" priority="1007"/>
  </conditionalFormatting>
  <conditionalFormatting sqref="K6:K12">
    <cfRule type="duplicateValues" dxfId="48" priority="1008"/>
    <cfRule type="duplicateValues" dxfId="47" priority="1009"/>
  </conditionalFormatting>
  <conditionalFormatting sqref="K89">
    <cfRule type="duplicateValues" dxfId="46" priority="1010"/>
  </conditionalFormatting>
  <conditionalFormatting sqref="K89">
    <cfRule type="duplicateValues" dxfId="45" priority="1011"/>
    <cfRule type="duplicateValues" dxfId="44" priority="1012"/>
  </conditionalFormatting>
  <conditionalFormatting sqref="K89 K5">
    <cfRule type="duplicateValues" dxfId="43" priority="1013"/>
  </conditionalFormatting>
  <conditionalFormatting sqref="K89:K90 K5">
    <cfRule type="duplicateValues" dxfId="42" priority="1015"/>
  </conditionalFormatting>
  <conditionalFormatting sqref="K89:K90">
    <cfRule type="duplicateValues" dxfId="41" priority="1017"/>
  </conditionalFormatting>
  <conditionalFormatting sqref="K13:K14 K88">
    <cfRule type="duplicateValues" dxfId="40" priority="1018"/>
  </conditionalFormatting>
  <conditionalFormatting sqref="K13:K14 K88">
    <cfRule type="duplicateValues" dxfId="39" priority="1020"/>
    <cfRule type="duplicateValues" dxfId="38" priority="1021"/>
  </conditionalFormatting>
  <conditionalFormatting sqref="K13:K14 K5 K88:K90">
    <cfRule type="duplicateValues" dxfId="37" priority="1024"/>
  </conditionalFormatting>
  <conditionalFormatting sqref="K88:K90 K5:K14">
    <cfRule type="duplicateValues" dxfId="36" priority="1027"/>
  </conditionalFormatting>
  <conditionalFormatting sqref="K36 K15:K26">
    <cfRule type="duplicateValues" dxfId="35" priority="1029"/>
  </conditionalFormatting>
  <conditionalFormatting sqref="K36 K15:K26">
    <cfRule type="duplicateValues" dxfId="34" priority="1031"/>
    <cfRule type="duplicateValues" dxfId="33" priority="1032"/>
  </conditionalFormatting>
  <conditionalFormatting sqref="K15:K26">
    <cfRule type="duplicateValues" dxfId="32" priority="1035"/>
  </conditionalFormatting>
  <conditionalFormatting sqref="K27:K35">
    <cfRule type="duplicateValues" dxfId="31" priority="1036"/>
  </conditionalFormatting>
  <conditionalFormatting sqref="K27:K35">
    <cfRule type="duplicateValues" dxfId="30" priority="1037"/>
    <cfRule type="duplicateValues" dxfId="29" priority="1038"/>
  </conditionalFormatting>
  <conditionalFormatting sqref="K5:K36 K88:K90">
    <cfRule type="duplicateValues" dxfId="28" priority="1039"/>
  </conditionalFormatting>
  <conditionalFormatting sqref="K37:K54 K61:K64">
    <cfRule type="duplicateValues" dxfId="27" priority="29"/>
  </conditionalFormatting>
  <conditionalFormatting sqref="K37:K54 K61:K64">
    <cfRule type="duplicateValues" dxfId="26" priority="30"/>
    <cfRule type="duplicateValues" dxfId="25" priority="31"/>
  </conditionalFormatting>
  <conditionalFormatting sqref="K37:K54">
    <cfRule type="duplicateValues" dxfId="24" priority="32"/>
  </conditionalFormatting>
  <conditionalFormatting sqref="K37:K54">
    <cfRule type="duplicateValues" dxfId="23" priority="33"/>
  </conditionalFormatting>
  <conditionalFormatting sqref="K37:K54">
    <cfRule type="duplicateValues" dxfId="22" priority="34"/>
  </conditionalFormatting>
  <conditionalFormatting sqref="K6:K54 K61:K64 K88:K90">
    <cfRule type="duplicateValues" dxfId="21" priority="25"/>
  </conditionalFormatting>
  <conditionalFormatting sqref="K55:K60">
    <cfRule type="duplicateValues" dxfId="20" priority="16"/>
  </conditionalFormatting>
  <conditionalFormatting sqref="K55:K60">
    <cfRule type="duplicateValues" dxfId="19" priority="17"/>
    <cfRule type="duplicateValues" dxfId="18" priority="18"/>
  </conditionalFormatting>
  <conditionalFormatting sqref="K55:K60">
    <cfRule type="duplicateValues" dxfId="17" priority="19"/>
  </conditionalFormatting>
  <conditionalFormatting sqref="K55:K60">
    <cfRule type="duplicateValues" dxfId="16" priority="20"/>
  </conditionalFormatting>
  <conditionalFormatting sqref="K55:K60">
    <cfRule type="duplicateValues" dxfId="15" priority="21"/>
  </conditionalFormatting>
  <conditionalFormatting sqref="K55:K60">
    <cfRule type="duplicateValues" dxfId="14" priority="15"/>
  </conditionalFormatting>
  <conditionalFormatting sqref="K6:K64 K88:K90">
    <cfRule type="duplicateValues" dxfId="13" priority="14"/>
  </conditionalFormatting>
  <conditionalFormatting sqref="K65:K87">
    <cfRule type="duplicateValues" dxfId="12" priority="5"/>
  </conditionalFormatting>
  <conditionalFormatting sqref="K65:K87">
    <cfRule type="duplicateValues" dxfId="11" priority="6"/>
    <cfRule type="duplicateValues" dxfId="10" priority="7"/>
  </conditionalFormatting>
  <conditionalFormatting sqref="K65:K87">
    <cfRule type="duplicateValues" dxfId="9" priority="8"/>
  </conditionalFormatting>
  <conditionalFormatting sqref="K65:K87">
    <cfRule type="duplicateValues" dxfId="8" priority="9"/>
  </conditionalFormatting>
  <conditionalFormatting sqref="K65:K87">
    <cfRule type="duplicateValues" dxfId="7" priority="10"/>
  </conditionalFormatting>
  <conditionalFormatting sqref="K65:K87">
    <cfRule type="duplicateValues" dxfId="6" priority="4"/>
  </conditionalFormatting>
  <conditionalFormatting sqref="K65:K87">
    <cfRule type="duplicateValues" dxfId="5" priority="3"/>
  </conditionalFormatting>
  <conditionalFormatting sqref="K6:K90">
    <cfRule type="duplicateValues" dxfId="4" priority="2"/>
  </conditionalFormatting>
  <conditionalFormatting sqref="K5:K90">
    <cfRule type="duplicateValues" dxfId="3" priority="1"/>
  </conditionalFormatting>
  <conditionalFormatting sqref="BB6:BB89">
    <cfRule type="expression" dxfId="2" priority="1066">
      <formula>$AC6&lt;&gt;""</formula>
    </cfRule>
    <cfRule type="expression" dxfId="1" priority="1067">
      <formula>$AB6&lt;&gt;""</formula>
    </cfRule>
    <cfRule type="expression" dxfId="0" priority="1068">
      <formula>$T6&lt;&gt;0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Jul-26</vt:lpstr>
      <vt:lpstr>Aug-26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dutta</dc:creator>
  <cp:lastModifiedBy>biswajit dutta</cp:lastModifiedBy>
  <dcterms:created xsi:type="dcterms:W3CDTF">2015-06-05T18:17:20Z</dcterms:created>
  <dcterms:modified xsi:type="dcterms:W3CDTF">2026-08-18T06:05:55Z</dcterms:modified>
</cp:coreProperties>
</file>